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yan\Downloads\"/>
    </mc:Choice>
  </mc:AlternateContent>
  <xr:revisionPtr revIDLastSave="0" documentId="13_ncr:1_{F5E752C1-53AC-4FDF-8228-74BBC9CB46A9}" xr6:coauthVersionLast="47" xr6:coauthVersionMax="47" xr10:uidLastSave="{00000000-0000-0000-0000-000000000000}"/>
  <bookViews>
    <workbookView xWindow="-90" yWindow="-16320" windowWidth="29040" windowHeight="16440" activeTab="2" xr2:uid="{00000000-000D-0000-FFFF-FFFF00000000}"/>
  </bookViews>
  <sheets>
    <sheet name="Quote-Equity-INFY-EQ-01-02-2025" sheetId="1" r:id="rId1"/>
    <sheet name="FINANCIAL ANALYSIS" sheetId="2" r:id="rId2"/>
    <sheet name="PARMOTER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7" i="1" l="1"/>
  <c r="E227" i="1"/>
  <c r="D227" i="1"/>
  <c r="C227" i="1"/>
  <c r="F226" i="1"/>
  <c r="E226" i="1"/>
  <c r="D226" i="1"/>
  <c r="C226" i="1"/>
  <c r="F225" i="1"/>
  <c r="E225" i="1"/>
  <c r="D225" i="1"/>
  <c r="C225" i="1"/>
  <c r="F224" i="1"/>
  <c r="E224" i="1"/>
  <c r="D224" i="1"/>
  <c r="C224" i="1"/>
  <c r="F223" i="1"/>
  <c r="E223" i="1"/>
  <c r="D223" i="1"/>
  <c r="C223" i="1"/>
  <c r="F222" i="1"/>
  <c r="E222" i="1"/>
  <c r="D222" i="1"/>
  <c r="C222" i="1"/>
  <c r="F221" i="1"/>
  <c r="E221" i="1"/>
  <c r="D221" i="1"/>
  <c r="C221" i="1"/>
  <c r="F220" i="1"/>
  <c r="E220" i="1"/>
  <c r="D220" i="1"/>
  <c r="C220" i="1"/>
  <c r="F219" i="1"/>
  <c r="E219" i="1"/>
  <c r="D219" i="1"/>
  <c r="C219" i="1"/>
  <c r="F218" i="1"/>
  <c r="E218" i="1"/>
  <c r="D218" i="1"/>
  <c r="C218" i="1"/>
  <c r="F217" i="1"/>
  <c r="E217" i="1"/>
  <c r="D217" i="1"/>
  <c r="C217" i="1"/>
  <c r="F216" i="1"/>
  <c r="E216" i="1"/>
  <c r="D216" i="1"/>
  <c r="C216" i="1"/>
  <c r="F215" i="1"/>
  <c r="E215" i="1"/>
  <c r="D215" i="1"/>
  <c r="C215" i="1"/>
  <c r="F214" i="1"/>
  <c r="E214" i="1"/>
  <c r="D214" i="1"/>
  <c r="C214" i="1"/>
  <c r="F213" i="1"/>
  <c r="E213" i="1"/>
  <c r="D213" i="1"/>
  <c r="C213" i="1"/>
  <c r="F212" i="1"/>
  <c r="E212" i="1"/>
  <c r="D212" i="1"/>
  <c r="C212" i="1"/>
  <c r="F211" i="1"/>
  <c r="E211" i="1"/>
  <c r="D211" i="1"/>
  <c r="C211" i="1"/>
  <c r="F210" i="1"/>
  <c r="E210" i="1"/>
  <c r="D210" i="1"/>
  <c r="C210" i="1"/>
  <c r="F209" i="1"/>
  <c r="E209" i="1"/>
  <c r="D209" i="1"/>
  <c r="C209" i="1"/>
  <c r="F208" i="1"/>
  <c r="E208" i="1"/>
  <c r="D208" i="1"/>
  <c r="C208" i="1"/>
  <c r="F207" i="1"/>
  <c r="E207" i="1"/>
  <c r="D207" i="1"/>
  <c r="C207" i="1"/>
  <c r="F206" i="1"/>
  <c r="E206" i="1"/>
  <c r="D206" i="1"/>
  <c r="C206" i="1"/>
  <c r="F205" i="1"/>
  <c r="E205" i="1"/>
  <c r="D205" i="1"/>
  <c r="C205" i="1"/>
  <c r="F204" i="1"/>
  <c r="E204" i="1"/>
  <c r="D204" i="1"/>
  <c r="C204" i="1"/>
  <c r="F203" i="1"/>
  <c r="E203" i="1"/>
  <c r="D203" i="1"/>
  <c r="C203" i="1"/>
  <c r="F202" i="1"/>
  <c r="E202" i="1"/>
  <c r="D202" i="1"/>
  <c r="C202" i="1"/>
  <c r="F201" i="1"/>
  <c r="E201" i="1"/>
  <c r="D201" i="1"/>
  <c r="C201" i="1"/>
  <c r="F200" i="1"/>
  <c r="E200" i="1"/>
  <c r="D200" i="1"/>
  <c r="C200" i="1"/>
  <c r="F199" i="1"/>
  <c r="E199" i="1"/>
  <c r="D199" i="1"/>
  <c r="C199" i="1"/>
  <c r="F198" i="1"/>
  <c r="E198" i="1"/>
  <c r="D198" i="1"/>
  <c r="C198" i="1"/>
  <c r="F197" i="1"/>
  <c r="E197" i="1"/>
  <c r="D197" i="1"/>
  <c r="C197" i="1"/>
  <c r="F196" i="1"/>
  <c r="E196" i="1"/>
  <c r="D196" i="1"/>
  <c r="C196" i="1"/>
  <c r="F195" i="1"/>
  <c r="E195" i="1"/>
  <c r="D195" i="1"/>
  <c r="C195" i="1"/>
  <c r="F194" i="1"/>
  <c r="E194" i="1"/>
  <c r="D194" i="1"/>
  <c r="C194" i="1"/>
  <c r="F193" i="1"/>
  <c r="E193" i="1"/>
  <c r="D193" i="1"/>
  <c r="C193" i="1"/>
  <c r="F192" i="1"/>
  <c r="E192" i="1"/>
  <c r="D192" i="1"/>
  <c r="C192" i="1"/>
  <c r="F191" i="1"/>
  <c r="E191" i="1"/>
  <c r="D191" i="1"/>
  <c r="C191" i="1"/>
  <c r="F190" i="1"/>
  <c r="E190" i="1"/>
  <c r="D190" i="1"/>
  <c r="C190" i="1"/>
  <c r="F189" i="1"/>
  <c r="E189" i="1"/>
  <c r="D189" i="1"/>
  <c r="C189" i="1"/>
  <c r="F188" i="1"/>
  <c r="E188" i="1"/>
  <c r="D188" i="1"/>
  <c r="C188" i="1"/>
  <c r="F187" i="1"/>
  <c r="E187" i="1"/>
  <c r="D187" i="1"/>
  <c r="C187" i="1"/>
  <c r="F186" i="1"/>
  <c r="E186" i="1"/>
  <c r="D186" i="1"/>
  <c r="C186" i="1"/>
  <c r="F185" i="1"/>
  <c r="E185" i="1"/>
  <c r="D185" i="1"/>
  <c r="C185" i="1"/>
  <c r="F184" i="1"/>
  <c r="E184" i="1"/>
  <c r="D184" i="1"/>
  <c r="C184" i="1"/>
  <c r="F183" i="1"/>
  <c r="E183" i="1"/>
  <c r="D183" i="1"/>
  <c r="C183" i="1"/>
  <c r="F182" i="1"/>
  <c r="E182" i="1"/>
  <c r="D182" i="1"/>
  <c r="C182" i="1"/>
  <c r="F181" i="1"/>
  <c r="E181" i="1"/>
  <c r="D181" i="1"/>
  <c r="C181" i="1"/>
  <c r="F180" i="1"/>
  <c r="E180" i="1"/>
  <c r="D180" i="1"/>
  <c r="C180" i="1"/>
  <c r="F179" i="1"/>
  <c r="E179" i="1"/>
  <c r="D179" i="1"/>
  <c r="C179" i="1"/>
  <c r="F178" i="1"/>
  <c r="E178" i="1"/>
  <c r="D178" i="1"/>
  <c r="C178" i="1"/>
  <c r="F177" i="1"/>
  <c r="E177" i="1"/>
  <c r="D177" i="1"/>
  <c r="C177" i="1"/>
  <c r="F176" i="1"/>
  <c r="E176" i="1"/>
  <c r="D176" i="1"/>
  <c r="C176" i="1"/>
  <c r="F175" i="1"/>
  <c r="E175" i="1"/>
  <c r="D175" i="1"/>
  <c r="C175" i="1"/>
  <c r="F174" i="1"/>
  <c r="E174" i="1"/>
  <c r="D174" i="1"/>
  <c r="C174" i="1"/>
  <c r="F173" i="1"/>
  <c r="E173" i="1"/>
  <c r="D173" i="1"/>
  <c r="C173" i="1"/>
  <c r="F172" i="1"/>
  <c r="E172" i="1"/>
  <c r="D172" i="1"/>
  <c r="C172" i="1"/>
  <c r="F171" i="1"/>
  <c r="E171" i="1"/>
  <c r="D171" i="1"/>
  <c r="C171" i="1"/>
  <c r="F170" i="1"/>
  <c r="E170" i="1"/>
  <c r="D170" i="1"/>
  <c r="C170" i="1"/>
  <c r="F169" i="1"/>
  <c r="E169" i="1"/>
  <c r="D169" i="1"/>
  <c r="C169" i="1"/>
  <c r="F168" i="1"/>
  <c r="E168" i="1"/>
  <c r="D168" i="1"/>
  <c r="C168" i="1"/>
  <c r="F167" i="1"/>
  <c r="E167" i="1"/>
  <c r="D167" i="1"/>
  <c r="C167" i="1"/>
  <c r="F166" i="1"/>
  <c r="E166" i="1"/>
  <c r="D166" i="1"/>
  <c r="C166" i="1"/>
  <c r="F165" i="1"/>
  <c r="E165" i="1"/>
  <c r="D165" i="1"/>
  <c r="C165" i="1"/>
  <c r="F164" i="1"/>
  <c r="E164" i="1"/>
  <c r="D164" i="1"/>
  <c r="C164" i="1"/>
  <c r="F163" i="1"/>
  <c r="E163" i="1"/>
  <c r="D163" i="1"/>
  <c r="C163" i="1"/>
  <c r="F162" i="1"/>
  <c r="E162" i="1"/>
  <c r="D162" i="1"/>
  <c r="C162" i="1"/>
  <c r="F161" i="1"/>
  <c r="E161" i="1"/>
  <c r="D161" i="1"/>
  <c r="C161" i="1"/>
  <c r="F160" i="1"/>
  <c r="E160" i="1"/>
  <c r="D160" i="1"/>
  <c r="C160" i="1"/>
  <c r="F159" i="1"/>
  <c r="E159" i="1"/>
  <c r="D159" i="1"/>
  <c r="C159" i="1"/>
  <c r="F158" i="1"/>
  <c r="E158" i="1"/>
  <c r="D158" i="1"/>
  <c r="C158" i="1"/>
  <c r="F157" i="1"/>
  <c r="E157" i="1"/>
  <c r="D157" i="1"/>
  <c r="C157" i="1"/>
  <c r="F156" i="1"/>
  <c r="E156" i="1"/>
  <c r="D156" i="1"/>
  <c r="C156" i="1"/>
  <c r="F155" i="1"/>
  <c r="E155" i="1"/>
  <c r="D155" i="1"/>
  <c r="C155" i="1"/>
  <c r="F154" i="1"/>
  <c r="E154" i="1"/>
  <c r="D154" i="1"/>
  <c r="C154" i="1"/>
  <c r="F153" i="1"/>
  <c r="E153" i="1"/>
  <c r="D153" i="1"/>
  <c r="C153" i="1"/>
  <c r="F152" i="1"/>
  <c r="E152" i="1"/>
  <c r="D152" i="1"/>
  <c r="C152" i="1"/>
  <c r="F151" i="1"/>
  <c r="E151" i="1"/>
  <c r="D151" i="1"/>
  <c r="C151" i="1"/>
  <c r="F150" i="1"/>
  <c r="E150" i="1"/>
  <c r="D150" i="1"/>
  <c r="C150" i="1"/>
  <c r="F149" i="1"/>
  <c r="E149" i="1"/>
  <c r="D149" i="1"/>
  <c r="C149" i="1"/>
  <c r="F148" i="1"/>
  <c r="E148" i="1"/>
  <c r="D148" i="1"/>
  <c r="C148" i="1"/>
  <c r="F147" i="1"/>
  <c r="E147" i="1"/>
  <c r="D147" i="1"/>
  <c r="C147" i="1"/>
  <c r="F146" i="1"/>
  <c r="E146" i="1"/>
  <c r="D146" i="1"/>
  <c r="C146" i="1"/>
  <c r="F145" i="1"/>
  <c r="E145" i="1"/>
  <c r="D145" i="1"/>
  <c r="C145" i="1"/>
  <c r="F144" i="1"/>
  <c r="E144" i="1"/>
  <c r="D144" i="1"/>
  <c r="C144" i="1"/>
  <c r="F143" i="1"/>
  <c r="E143" i="1"/>
  <c r="D143" i="1"/>
  <c r="C143" i="1"/>
  <c r="F142" i="1"/>
  <c r="E142" i="1"/>
  <c r="D142" i="1"/>
  <c r="C142" i="1"/>
  <c r="F141" i="1"/>
  <c r="E141" i="1"/>
  <c r="D141" i="1"/>
  <c r="C141" i="1"/>
  <c r="F140" i="1"/>
  <c r="E140" i="1"/>
  <c r="D140" i="1"/>
  <c r="C140" i="1"/>
  <c r="F139" i="1"/>
  <c r="E139" i="1"/>
  <c r="D139" i="1"/>
  <c r="C139" i="1"/>
  <c r="F138" i="1"/>
  <c r="E138" i="1"/>
  <c r="D138" i="1"/>
  <c r="C138" i="1"/>
  <c r="F137" i="1"/>
  <c r="E137" i="1"/>
  <c r="D137" i="1"/>
  <c r="C137" i="1"/>
  <c r="F136" i="1"/>
  <c r="E136" i="1"/>
  <c r="D136" i="1"/>
  <c r="C136" i="1"/>
  <c r="F135" i="1"/>
  <c r="E135" i="1"/>
  <c r="D135" i="1"/>
  <c r="C135" i="1"/>
  <c r="F134" i="1"/>
  <c r="E134" i="1"/>
  <c r="D134" i="1"/>
  <c r="C134" i="1"/>
  <c r="F133" i="1"/>
  <c r="E133" i="1"/>
  <c r="D133" i="1"/>
  <c r="C133" i="1"/>
  <c r="F132" i="1"/>
  <c r="E132" i="1"/>
  <c r="D132" i="1"/>
  <c r="C132" i="1"/>
  <c r="F131" i="1"/>
  <c r="E131" i="1"/>
  <c r="D131" i="1"/>
  <c r="C131" i="1"/>
  <c r="F130" i="1"/>
  <c r="E130" i="1"/>
  <c r="D130" i="1"/>
  <c r="C130" i="1"/>
  <c r="F129" i="1"/>
  <c r="E129" i="1"/>
  <c r="D129" i="1"/>
  <c r="C129" i="1"/>
  <c r="F128" i="1"/>
  <c r="E128" i="1"/>
  <c r="D128" i="1"/>
  <c r="C128" i="1"/>
  <c r="F127" i="1"/>
  <c r="E127" i="1"/>
  <c r="D127" i="1"/>
  <c r="C127" i="1"/>
  <c r="F126" i="1"/>
  <c r="E126" i="1"/>
  <c r="D126" i="1"/>
  <c r="C126" i="1"/>
  <c r="F125" i="1"/>
  <c r="E125" i="1"/>
  <c r="D125" i="1"/>
  <c r="C125" i="1"/>
  <c r="F124" i="1"/>
  <c r="E124" i="1"/>
  <c r="D124" i="1"/>
  <c r="C124" i="1"/>
  <c r="F123" i="1"/>
  <c r="E123" i="1"/>
  <c r="D123" i="1"/>
  <c r="C123" i="1"/>
  <c r="F122" i="1"/>
  <c r="E122" i="1"/>
  <c r="D122" i="1"/>
  <c r="C122" i="1"/>
  <c r="F121" i="1"/>
  <c r="E121" i="1"/>
  <c r="D121" i="1"/>
  <c r="C121" i="1"/>
  <c r="F120" i="1"/>
  <c r="E120" i="1"/>
  <c r="D120" i="1"/>
  <c r="C120" i="1"/>
  <c r="F119" i="1"/>
  <c r="E119" i="1"/>
  <c r="D119" i="1"/>
  <c r="C119" i="1"/>
  <c r="F118" i="1"/>
  <c r="E118" i="1"/>
  <c r="D118" i="1"/>
  <c r="C118" i="1"/>
  <c r="F117" i="1"/>
  <c r="E117" i="1"/>
  <c r="D117" i="1"/>
  <c r="C117" i="1"/>
  <c r="F116" i="1"/>
  <c r="E116" i="1"/>
  <c r="D116" i="1"/>
  <c r="C116" i="1"/>
  <c r="F115" i="1"/>
  <c r="E115" i="1"/>
  <c r="D115" i="1"/>
  <c r="C115" i="1"/>
  <c r="F114" i="1"/>
  <c r="E114" i="1"/>
  <c r="D114" i="1"/>
  <c r="C114" i="1"/>
  <c r="F113" i="1"/>
  <c r="E113" i="1"/>
  <c r="D113" i="1"/>
  <c r="C113" i="1"/>
  <c r="F112" i="1"/>
  <c r="E112" i="1"/>
  <c r="D112" i="1"/>
  <c r="C112" i="1"/>
  <c r="F111" i="1"/>
  <c r="E111" i="1"/>
  <c r="D111" i="1"/>
  <c r="C111" i="1"/>
  <c r="F110" i="1"/>
  <c r="E110" i="1"/>
  <c r="D110" i="1"/>
  <c r="C110" i="1"/>
  <c r="F109" i="1"/>
  <c r="E109" i="1"/>
  <c r="D109" i="1"/>
  <c r="C109" i="1"/>
  <c r="F108" i="1"/>
  <c r="E108" i="1"/>
  <c r="D108" i="1"/>
  <c r="C108" i="1"/>
  <c r="F107" i="1"/>
  <c r="E107" i="1"/>
  <c r="D107" i="1"/>
  <c r="C107" i="1"/>
  <c r="F106" i="1"/>
  <c r="E106" i="1"/>
  <c r="D106" i="1"/>
  <c r="C106" i="1"/>
  <c r="F105" i="1"/>
  <c r="E105" i="1"/>
  <c r="D105" i="1"/>
  <c r="C105" i="1"/>
  <c r="F104" i="1"/>
  <c r="E104" i="1"/>
  <c r="D104" i="1"/>
  <c r="C104" i="1"/>
  <c r="F103" i="1"/>
  <c r="E103" i="1"/>
  <c r="D103" i="1"/>
  <c r="C103" i="1"/>
  <c r="F102" i="1"/>
  <c r="E102" i="1"/>
  <c r="D102" i="1"/>
  <c r="C102" i="1"/>
  <c r="F101" i="1"/>
  <c r="E101" i="1"/>
  <c r="D101" i="1"/>
  <c r="C101" i="1"/>
  <c r="F100" i="1"/>
  <c r="E100" i="1"/>
  <c r="D100" i="1"/>
  <c r="C100" i="1"/>
  <c r="F99" i="1"/>
  <c r="E99" i="1"/>
  <c r="D99" i="1"/>
  <c r="C99" i="1"/>
  <c r="F98" i="1"/>
  <c r="E98" i="1"/>
  <c r="D98" i="1"/>
  <c r="C98" i="1"/>
  <c r="F97" i="1"/>
  <c r="E97" i="1"/>
  <c r="D97" i="1"/>
  <c r="C97" i="1"/>
  <c r="F96" i="1"/>
  <c r="E96" i="1"/>
  <c r="D96" i="1"/>
  <c r="C96" i="1"/>
  <c r="F95" i="1"/>
  <c r="E95" i="1"/>
  <c r="D95" i="1"/>
  <c r="C95" i="1"/>
  <c r="F94" i="1"/>
  <c r="E94" i="1"/>
  <c r="D94" i="1"/>
  <c r="C94" i="1"/>
  <c r="F93" i="1"/>
  <c r="E93" i="1"/>
  <c r="D93" i="1"/>
  <c r="C93" i="1"/>
  <c r="F92" i="1"/>
  <c r="E92" i="1"/>
  <c r="D92" i="1"/>
  <c r="C92" i="1"/>
  <c r="F91" i="1"/>
  <c r="E91" i="1"/>
  <c r="D91" i="1"/>
  <c r="C91" i="1"/>
  <c r="F90" i="1"/>
  <c r="E90" i="1"/>
  <c r="D90" i="1"/>
  <c r="C90" i="1"/>
  <c r="F89" i="1"/>
  <c r="E89" i="1"/>
  <c r="D89" i="1"/>
  <c r="C89" i="1"/>
  <c r="F88" i="1"/>
  <c r="E88" i="1"/>
  <c r="D88" i="1"/>
  <c r="C88" i="1"/>
  <c r="F87" i="1"/>
  <c r="E87" i="1"/>
  <c r="D87" i="1"/>
  <c r="C87" i="1"/>
  <c r="F86" i="1"/>
  <c r="E86" i="1"/>
  <c r="D86" i="1"/>
  <c r="C86" i="1"/>
  <c r="F85" i="1"/>
  <c r="E85" i="1"/>
  <c r="D85" i="1"/>
  <c r="C85" i="1"/>
  <c r="F84" i="1"/>
  <c r="E84" i="1"/>
  <c r="D84" i="1"/>
  <c r="C84" i="1"/>
  <c r="F83" i="1"/>
  <c r="E83" i="1"/>
  <c r="D83" i="1"/>
  <c r="C83" i="1"/>
  <c r="F82" i="1"/>
  <c r="E82" i="1"/>
  <c r="D82" i="1"/>
  <c r="C82" i="1"/>
  <c r="F81" i="1"/>
  <c r="E81" i="1"/>
  <c r="D81" i="1"/>
  <c r="C81" i="1"/>
  <c r="F80" i="1"/>
  <c r="E80" i="1"/>
  <c r="D80" i="1"/>
  <c r="C80" i="1"/>
  <c r="F79" i="1"/>
  <c r="E79" i="1"/>
  <c r="D79" i="1"/>
  <c r="C79" i="1"/>
  <c r="F78" i="1"/>
  <c r="E78" i="1"/>
  <c r="D78" i="1"/>
  <c r="C78" i="1"/>
  <c r="F77" i="1"/>
  <c r="E77" i="1"/>
  <c r="D77" i="1"/>
  <c r="C77" i="1"/>
  <c r="F76" i="1"/>
  <c r="E76" i="1"/>
  <c r="D76" i="1"/>
  <c r="C76" i="1"/>
  <c r="F75" i="1"/>
  <c r="E75" i="1"/>
  <c r="D75" i="1"/>
  <c r="C75" i="1"/>
  <c r="F74" i="1"/>
  <c r="E74" i="1"/>
  <c r="D74" i="1"/>
  <c r="C74" i="1"/>
  <c r="F73" i="1"/>
  <c r="E73" i="1"/>
  <c r="D73" i="1"/>
  <c r="C73" i="1"/>
  <c r="F72" i="1"/>
  <c r="E72" i="1"/>
  <c r="D72" i="1"/>
  <c r="C72" i="1"/>
  <c r="F71" i="1"/>
  <c r="E71" i="1"/>
  <c r="D71" i="1"/>
  <c r="C71" i="1"/>
  <c r="F70" i="1"/>
  <c r="E70" i="1"/>
  <c r="D70" i="1"/>
  <c r="C70" i="1"/>
  <c r="F69" i="1"/>
  <c r="E69" i="1"/>
  <c r="D69" i="1"/>
  <c r="C69" i="1"/>
  <c r="F68" i="1"/>
  <c r="E68" i="1"/>
  <c r="D68" i="1"/>
  <c r="C68" i="1"/>
  <c r="F67" i="1"/>
  <c r="E67" i="1"/>
  <c r="D67" i="1"/>
  <c r="C67" i="1"/>
  <c r="F66" i="1"/>
  <c r="E66" i="1"/>
  <c r="D66" i="1"/>
  <c r="C66" i="1"/>
  <c r="F65" i="1"/>
  <c r="E65" i="1"/>
  <c r="D65" i="1"/>
  <c r="C65" i="1"/>
  <c r="F64" i="1"/>
  <c r="E64" i="1"/>
  <c r="D64" i="1"/>
  <c r="C64" i="1"/>
  <c r="F63" i="1"/>
  <c r="E63" i="1"/>
  <c r="D63" i="1"/>
  <c r="C63" i="1"/>
  <c r="F62" i="1"/>
  <c r="E62" i="1"/>
  <c r="D62" i="1"/>
  <c r="C62" i="1"/>
  <c r="F61" i="1"/>
  <c r="E61" i="1"/>
  <c r="D61" i="1"/>
  <c r="C61" i="1"/>
  <c r="F60" i="1"/>
  <c r="E60" i="1"/>
  <c r="D60" i="1"/>
  <c r="C60" i="1"/>
  <c r="F59" i="1"/>
  <c r="E59" i="1"/>
  <c r="D59" i="1"/>
  <c r="C59" i="1"/>
  <c r="F58" i="1"/>
  <c r="E58" i="1"/>
  <c r="D58" i="1"/>
  <c r="C58" i="1"/>
  <c r="F57" i="1"/>
  <c r="E57" i="1"/>
  <c r="D57" i="1"/>
  <c r="C57" i="1"/>
  <c r="F56" i="1"/>
  <c r="E56" i="1"/>
  <c r="D56" i="1"/>
  <c r="C56" i="1"/>
  <c r="F55" i="1"/>
  <c r="E55" i="1"/>
  <c r="D55" i="1"/>
  <c r="C55" i="1"/>
  <c r="F54" i="1"/>
  <c r="E54" i="1"/>
  <c r="D54" i="1"/>
  <c r="C54" i="1"/>
  <c r="F53" i="1"/>
  <c r="E53" i="1"/>
  <c r="D53" i="1"/>
  <c r="C53" i="1"/>
  <c r="F52" i="1"/>
  <c r="E52" i="1"/>
  <c r="D52" i="1"/>
  <c r="C52" i="1"/>
  <c r="F51" i="1"/>
  <c r="E51" i="1"/>
  <c r="D51" i="1"/>
  <c r="C51" i="1"/>
  <c r="F50" i="1"/>
  <c r="E50" i="1"/>
  <c r="D50" i="1"/>
  <c r="C50" i="1"/>
  <c r="F49" i="1"/>
  <c r="E49" i="1"/>
  <c r="D49" i="1"/>
  <c r="C49" i="1"/>
  <c r="F48" i="1"/>
  <c r="E48" i="1"/>
  <c r="D48" i="1"/>
  <c r="C48" i="1"/>
  <c r="F47" i="1"/>
  <c r="E47" i="1"/>
  <c r="D47" i="1"/>
  <c r="C47" i="1"/>
  <c r="F46" i="1"/>
  <c r="E46" i="1"/>
  <c r="D46" i="1"/>
  <c r="C46" i="1"/>
  <c r="F45" i="1"/>
  <c r="E45" i="1"/>
  <c r="D45" i="1"/>
  <c r="C45" i="1"/>
  <c r="F44" i="1"/>
  <c r="E44" i="1"/>
  <c r="D44" i="1"/>
  <c r="C44" i="1"/>
  <c r="F43" i="1"/>
  <c r="E43" i="1"/>
  <c r="D43" i="1"/>
  <c r="C43" i="1"/>
  <c r="F42" i="1"/>
  <c r="E42" i="1"/>
  <c r="D42" i="1"/>
  <c r="C42" i="1"/>
  <c r="F41" i="1"/>
  <c r="E41" i="1"/>
  <c r="D41" i="1"/>
  <c r="C41" i="1"/>
  <c r="F40" i="1"/>
  <c r="E40" i="1"/>
  <c r="D40" i="1"/>
  <c r="C40" i="1"/>
  <c r="F39" i="1"/>
  <c r="E39" i="1"/>
  <c r="D39" i="1"/>
  <c r="C39" i="1"/>
  <c r="F38" i="1"/>
  <c r="E38" i="1"/>
  <c r="D38" i="1"/>
  <c r="C38" i="1"/>
  <c r="F37" i="1"/>
  <c r="E37" i="1"/>
  <c r="D37" i="1"/>
  <c r="C37" i="1"/>
  <c r="F36" i="1"/>
  <c r="E36" i="1"/>
  <c r="D36" i="1"/>
  <c r="C36" i="1"/>
  <c r="F35" i="1"/>
  <c r="E35" i="1"/>
  <c r="D35" i="1"/>
  <c r="C35" i="1"/>
  <c r="F34" i="1"/>
  <c r="E34" i="1"/>
  <c r="D34" i="1"/>
  <c r="C34" i="1"/>
  <c r="F33" i="1"/>
  <c r="E33" i="1"/>
  <c r="D33" i="1"/>
  <c r="C33" i="1"/>
  <c r="F32" i="1"/>
  <c r="E32" i="1"/>
  <c r="D32" i="1"/>
  <c r="C32" i="1"/>
  <c r="F31" i="1"/>
  <c r="E31" i="1"/>
  <c r="D31" i="1"/>
  <c r="C31" i="1"/>
  <c r="F30" i="1"/>
  <c r="E30" i="1"/>
  <c r="D30" i="1"/>
  <c r="C30" i="1"/>
  <c r="F29" i="1"/>
  <c r="E29" i="1"/>
  <c r="D29" i="1"/>
  <c r="C29" i="1"/>
  <c r="F28" i="1"/>
  <c r="E28" i="1"/>
  <c r="D28" i="1"/>
  <c r="C28" i="1"/>
  <c r="F27" i="1"/>
  <c r="E27" i="1"/>
  <c r="D27" i="1"/>
  <c r="C27" i="1"/>
  <c r="F26" i="1"/>
  <c r="E26" i="1"/>
  <c r="D26" i="1"/>
  <c r="C26" i="1"/>
  <c r="F25" i="1"/>
  <c r="E25" i="1"/>
  <c r="D25" i="1"/>
  <c r="C25" i="1"/>
  <c r="F24" i="1"/>
  <c r="E24" i="1"/>
  <c r="D24" i="1"/>
  <c r="C24" i="1"/>
  <c r="F23" i="1"/>
  <c r="E23" i="1"/>
  <c r="D23" i="1"/>
  <c r="C23" i="1"/>
  <c r="F22" i="1"/>
  <c r="E22" i="1"/>
  <c r="D22" i="1"/>
  <c r="C22" i="1"/>
  <c r="F21" i="1"/>
  <c r="E21" i="1"/>
  <c r="D21" i="1"/>
  <c r="C21" i="1"/>
  <c r="F20" i="1"/>
  <c r="E20" i="1"/>
  <c r="D20" i="1"/>
  <c r="C20" i="1"/>
  <c r="F19" i="1"/>
  <c r="E19" i="1"/>
  <c r="D19" i="1"/>
  <c r="C19" i="1"/>
  <c r="F18" i="1"/>
  <c r="E18" i="1"/>
  <c r="D18" i="1"/>
  <c r="C18" i="1"/>
  <c r="F17" i="1"/>
  <c r="E17" i="1"/>
  <c r="D17" i="1"/>
  <c r="C17" i="1"/>
  <c r="F16" i="1"/>
  <c r="E16" i="1"/>
  <c r="D16" i="1"/>
  <c r="C16" i="1"/>
  <c r="F15" i="1"/>
  <c r="E15" i="1"/>
  <c r="D15" i="1"/>
  <c r="C15" i="1"/>
  <c r="F14" i="1"/>
  <c r="E14" i="1"/>
  <c r="D14" i="1"/>
  <c r="C14" i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F6" i="1"/>
  <c r="E6" i="1"/>
  <c r="D6" i="1"/>
  <c r="C6" i="1"/>
  <c r="F5" i="1"/>
  <c r="E5" i="1"/>
  <c r="D5" i="1"/>
  <c r="C5" i="1"/>
  <c r="F4" i="1"/>
  <c r="E4" i="1"/>
  <c r="D4" i="1"/>
  <c r="C4" i="1"/>
  <c r="F3" i="1"/>
  <c r="E3" i="1"/>
  <c r="D3" i="1"/>
  <c r="C3" i="1"/>
  <c r="F2" i="1"/>
  <c r="E2" i="1"/>
  <c r="D2" i="1"/>
  <c r="C2" i="1"/>
</calcChain>
</file>

<file path=xl/sharedStrings.xml><?xml version="1.0" encoding="utf-8"?>
<sst xmlns="http://schemas.openxmlformats.org/spreadsheetml/2006/main" count="273" uniqueCount="35">
  <si>
    <t>DATE</t>
  </si>
  <si>
    <t>SERIES</t>
  </si>
  <si>
    <t>DAY</t>
  </si>
  <si>
    <t>MONTH</t>
  </si>
  <si>
    <t>YEAR</t>
  </si>
  <si>
    <t>QUARTER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</si>
  <si>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</si>
  <si>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</si>
  <si>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</si>
  <si>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</si>
  <si>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</si>
  <si>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</si>
  <si>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</si>
  <si>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</si>
  <si>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</si>
  <si>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</si>
  <si>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</si>
  <si>
    <t>EQ</t>
  </si>
  <si>
    <t>REVENUE</t>
  </si>
  <si>
    <t>NET_PROFIT</t>
  </si>
  <si>
    <t>EMPLOYEE_COST</t>
  </si>
  <si>
    <t>DEPRECIATION</t>
  </si>
  <si>
    <t>OTHER_EXPENSES</t>
  </si>
  <si>
    <t>PBT</t>
  </si>
  <si>
    <t>TAX</t>
  </si>
  <si>
    <t>EPS</t>
  </si>
  <si>
    <t>Q1</t>
  </si>
  <si>
    <t>Q2</t>
  </si>
  <si>
    <t>Q3</t>
  </si>
  <si>
    <t>Q4</t>
  </si>
  <si>
    <t>PROMOTER</t>
  </si>
  <si>
    <t>FII</t>
  </si>
  <si>
    <t>DII</t>
  </si>
  <si>
    <t>PUBLIC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</si>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</sst>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dd\-mmm\-yyyy"/>
    <numFmt numFmtId="165" formatCode="d\-mmm\-yyyy"/>
    <numFmt numFmtId="166" formatCode="dd\-mmmm\-yyyy"/>
    <numFmt numFmtId="167" formatCode="d\-mmmm\-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43" fontId="0" fillId="0" borderId="0" xfId="1" applyFont="1"/>
    <xf numFmtId="43" fontId="4" fillId="3" borderId="0" xfId="1" applyFont="1" applyFill="1"/>
    <xf numFmtId="0" fontId="4" fillId="3" borderId="0" xfId="0" applyFont="1" applyFill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4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6" max="16" width="17.8867187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x14ac:dyDescent="0.25">
      <c r="A2" s="3">
        <v>45689</v>
      </c>
      <c r="B2" s="4" t="s">
        <v>17</v>
      </c>
      <c r="C2" s="5" t="str">
        <f t="shared" ref="C2:C227" si="0">TEXT(A2,"DDDD")</f>
        <v>Saturday</v>
      </c>
      <c r="D2" s="5" t="str">
        <f t="shared" ref="D2:D227" si="1">TEXT(A2,"MMMm")</f>
        <v>February</v>
      </c>
      <c r="E2" s="5" t="str">
        <f t="shared" ref="E2:E227" si="2">TEXT(A2,"YYYY")</f>
        <v>2025</v>
      </c>
      <c r="F2" s="5" t="str">
        <f t="shared" ref="F2:F227" si="3">"Q"&amp;ROUNDUP(MONTH(A2)/3,0)</f>
        <v>Q1</v>
      </c>
      <c r="G2" s="5">
        <v>1880.3</v>
      </c>
      <c r="H2" s="5">
        <v>1890.6</v>
      </c>
      <c r="I2" s="5">
        <v>1846</v>
      </c>
      <c r="J2" s="5">
        <v>1879.8</v>
      </c>
      <c r="K2" s="5">
        <v>1863</v>
      </c>
      <c r="L2" s="5">
        <v>1851.35</v>
      </c>
      <c r="M2" s="5">
        <v>1862.44</v>
      </c>
      <c r="N2" s="5">
        <v>2006.45</v>
      </c>
      <c r="O2" s="5">
        <v>1358.35</v>
      </c>
      <c r="P2" s="5">
        <v>1701402</v>
      </c>
      <c r="Q2" s="5">
        <v>70335</v>
      </c>
    </row>
    <row r="3" spans="1:29" x14ac:dyDescent="0.25">
      <c r="A3" s="3">
        <v>45691</v>
      </c>
      <c r="B3" s="4" t="s">
        <v>17</v>
      </c>
      <c r="C3" s="5" t="str">
        <f t="shared" si="0"/>
        <v>Monday</v>
      </c>
      <c r="D3" s="5" t="str">
        <f t="shared" si="1"/>
        <v>February</v>
      </c>
      <c r="E3" s="5" t="str">
        <f t="shared" si="2"/>
        <v>2025</v>
      </c>
      <c r="F3" s="5" t="str">
        <f t="shared" si="3"/>
        <v>Q1</v>
      </c>
      <c r="G3" s="5">
        <v>1836</v>
      </c>
      <c r="H3" s="5">
        <v>1876.55</v>
      </c>
      <c r="I3" s="5">
        <v>1832.4</v>
      </c>
      <c r="J3" s="5">
        <v>1851.35</v>
      </c>
      <c r="K3" s="5">
        <v>1864.1</v>
      </c>
      <c r="L3" s="5">
        <v>1863.3</v>
      </c>
      <c r="M3" s="5">
        <v>1858.62</v>
      </c>
      <c r="N3" s="5">
        <v>2006.45</v>
      </c>
      <c r="O3" s="5">
        <v>1358.35</v>
      </c>
      <c r="P3" s="5">
        <v>4823228</v>
      </c>
      <c r="Q3" s="5">
        <v>177156</v>
      </c>
    </row>
    <row r="4" spans="1:29" x14ac:dyDescent="0.25">
      <c r="A4" s="3">
        <v>45692</v>
      </c>
      <c r="B4" s="4" t="s">
        <v>17</v>
      </c>
      <c r="C4" s="5" t="str">
        <f t="shared" si="0"/>
        <v>Tuesday</v>
      </c>
      <c r="D4" s="5" t="str">
        <f t="shared" si="1"/>
        <v>February</v>
      </c>
      <c r="E4" s="5" t="str">
        <f t="shared" si="2"/>
        <v>2025</v>
      </c>
      <c r="F4" s="5" t="str">
        <f t="shared" si="3"/>
        <v>Q1</v>
      </c>
      <c r="G4" s="5">
        <v>1889</v>
      </c>
      <c r="H4" s="5">
        <v>1911.2</v>
      </c>
      <c r="I4" s="5">
        <v>1875</v>
      </c>
      <c r="J4" s="5">
        <v>1863.3</v>
      </c>
      <c r="K4" s="5">
        <v>1894.85</v>
      </c>
      <c r="L4" s="5">
        <v>1898.8</v>
      </c>
      <c r="M4" s="5">
        <v>1892.32</v>
      </c>
      <c r="N4" s="5">
        <v>2006.45</v>
      </c>
      <c r="O4" s="5">
        <v>1358.35</v>
      </c>
      <c r="P4" s="5">
        <v>7334787</v>
      </c>
      <c r="Q4" s="5">
        <v>254137</v>
      </c>
    </row>
    <row r="5" spans="1:29" x14ac:dyDescent="0.25">
      <c r="A5" s="3">
        <v>45693</v>
      </c>
      <c r="B5" s="4" t="s">
        <v>17</v>
      </c>
      <c r="C5" s="5" t="str">
        <f t="shared" si="0"/>
        <v>Wednesday</v>
      </c>
      <c r="D5" s="5" t="str">
        <f t="shared" si="1"/>
        <v>February</v>
      </c>
      <c r="E5" s="5" t="str">
        <f t="shared" si="2"/>
        <v>2025</v>
      </c>
      <c r="F5" s="5" t="str">
        <f t="shared" si="3"/>
        <v>Q1</v>
      </c>
      <c r="G5" s="5">
        <v>1906</v>
      </c>
      <c r="H5" s="5">
        <v>1919.7</v>
      </c>
      <c r="I5" s="5">
        <v>1894.3</v>
      </c>
      <c r="J5" s="5">
        <v>1898.8</v>
      </c>
      <c r="K5" s="5">
        <v>1899.15</v>
      </c>
      <c r="L5" s="5">
        <v>1897.05</v>
      </c>
      <c r="M5" s="5">
        <v>1901.79</v>
      </c>
      <c r="N5" s="5">
        <v>2006.45</v>
      </c>
      <c r="O5" s="5">
        <v>1358.35</v>
      </c>
      <c r="P5" s="5">
        <v>4996744</v>
      </c>
      <c r="Q5" s="5">
        <v>170651</v>
      </c>
    </row>
    <row r="6" spans="1:29" x14ac:dyDescent="0.25">
      <c r="A6" s="3">
        <v>45694</v>
      </c>
      <c r="B6" s="4" t="s">
        <v>17</v>
      </c>
      <c r="C6" s="5" t="str">
        <f t="shared" si="0"/>
        <v>Thursday</v>
      </c>
      <c r="D6" s="5" t="str">
        <f t="shared" si="1"/>
        <v>February</v>
      </c>
      <c r="E6" s="5" t="str">
        <f t="shared" si="2"/>
        <v>2025</v>
      </c>
      <c r="F6" s="5" t="str">
        <f t="shared" si="3"/>
        <v>Q1</v>
      </c>
      <c r="G6" s="5">
        <v>1917</v>
      </c>
      <c r="H6" s="5">
        <v>1924</v>
      </c>
      <c r="I6" s="5">
        <v>1900</v>
      </c>
      <c r="J6" s="5">
        <v>1897.05</v>
      </c>
      <c r="K6" s="5">
        <v>1913.75</v>
      </c>
      <c r="L6" s="5">
        <v>1915.65</v>
      </c>
      <c r="M6" s="5">
        <v>1910.66</v>
      </c>
      <c r="N6" s="5">
        <v>2006.45</v>
      </c>
      <c r="O6" s="5">
        <v>1358.35</v>
      </c>
      <c r="P6" s="5">
        <v>4765255</v>
      </c>
      <c r="Q6" s="5">
        <v>151924</v>
      </c>
    </row>
    <row r="7" spans="1:29" x14ac:dyDescent="0.25">
      <c r="A7" s="3">
        <v>45695</v>
      </c>
      <c r="B7" s="4" t="s">
        <v>17</v>
      </c>
      <c r="C7" s="5" t="str">
        <f t="shared" si="0"/>
        <v>Friday</v>
      </c>
      <c r="D7" s="5" t="str">
        <f t="shared" si="1"/>
        <v>February</v>
      </c>
      <c r="E7" s="5" t="str">
        <f t="shared" si="2"/>
        <v>2025</v>
      </c>
      <c r="F7" s="5" t="str">
        <f t="shared" si="3"/>
        <v>Q1</v>
      </c>
      <c r="G7" s="5">
        <v>1919.3</v>
      </c>
      <c r="H7" s="5">
        <v>1923.7</v>
      </c>
      <c r="I7" s="5">
        <v>1889.45</v>
      </c>
      <c r="J7" s="5">
        <v>1915.65</v>
      </c>
      <c r="K7" s="5">
        <v>1901.1</v>
      </c>
      <c r="L7" s="5">
        <v>1903.65</v>
      </c>
      <c r="M7" s="5">
        <v>1902.44</v>
      </c>
      <c r="N7" s="5">
        <v>2006.45</v>
      </c>
      <c r="O7" s="5">
        <v>1358.35</v>
      </c>
      <c r="P7" s="5">
        <v>4126260</v>
      </c>
      <c r="Q7" s="5">
        <v>155494</v>
      </c>
    </row>
    <row r="8" spans="1:29" x14ac:dyDescent="0.25">
      <c r="A8" s="6">
        <v>45698</v>
      </c>
      <c r="B8" s="4" t="s">
        <v>17</v>
      </c>
      <c r="C8" s="5" t="str">
        <f t="shared" si="0"/>
        <v>Monday</v>
      </c>
      <c r="D8" s="5" t="str">
        <f t="shared" si="1"/>
        <v>February</v>
      </c>
      <c r="E8" s="5" t="str">
        <f t="shared" si="2"/>
        <v>2025</v>
      </c>
      <c r="F8" s="5" t="str">
        <f t="shared" si="3"/>
        <v>Q1</v>
      </c>
      <c r="G8" s="5">
        <v>1905</v>
      </c>
      <c r="H8" s="5">
        <v>1905</v>
      </c>
      <c r="I8" s="5">
        <v>1878.6</v>
      </c>
      <c r="J8" s="5">
        <v>1903.65</v>
      </c>
      <c r="K8" s="5">
        <v>1880</v>
      </c>
      <c r="L8" s="5">
        <v>1880.3</v>
      </c>
      <c r="M8" s="5">
        <v>1885.89</v>
      </c>
      <c r="N8" s="5">
        <v>2006.45</v>
      </c>
      <c r="O8" s="5">
        <v>1358.35</v>
      </c>
      <c r="P8" s="5">
        <v>3828734</v>
      </c>
      <c r="Q8" s="5">
        <v>151607</v>
      </c>
    </row>
    <row r="9" spans="1:29" x14ac:dyDescent="0.25">
      <c r="A9" s="6">
        <v>45699</v>
      </c>
      <c r="B9" s="4" t="s">
        <v>17</v>
      </c>
      <c r="C9" s="5" t="str">
        <f t="shared" si="0"/>
        <v>Tuesday</v>
      </c>
      <c r="D9" s="5" t="str">
        <f t="shared" si="1"/>
        <v>February</v>
      </c>
      <c r="E9" s="5" t="str">
        <f t="shared" si="2"/>
        <v>2025</v>
      </c>
      <c r="F9" s="5" t="str">
        <f t="shared" si="3"/>
        <v>Q1</v>
      </c>
      <c r="G9" s="5">
        <v>1883.1</v>
      </c>
      <c r="H9" s="5">
        <v>1903</v>
      </c>
      <c r="I9" s="5">
        <v>1870</v>
      </c>
      <c r="J9" s="5">
        <v>1880.3</v>
      </c>
      <c r="K9" s="5">
        <v>1879</v>
      </c>
      <c r="L9" s="5">
        <v>1875.65</v>
      </c>
      <c r="M9" s="5">
        <v>1883.68</v>
      </c>
      <c r="N9" s="5">
        <v>2006.45</v>
      </c>
      <c r="O9" s="5">
        <v>1358.35</v>
      </c>
      <c r="P9" s="5">
        <v>4411601</v>
      </c>
      <c r="Q9" s="5">
        <v>160934</v>
      </c>
    </row>
    <row r="10" spans="1:29" x14ac:dyDescent="0.25">
      <c r="A10" s="6">
        <v>45700</v>
      </c>
      <c r="B10" s="4" t="s">
        <v>17</v>
      </c>
      <c r="C10" s="5" t="str">
        <f t="shared" si="0"/>
        <v>Wednesday</v>
      </c>
      <c r="D10" s="5" t="str">
        <f t="shared" si="1"/>
        <v>February</v>
      </c>
      <c r="E10" s="5" t="str">
        <f t="shared" si="2"/>
        <v>2025</v>
      </c>
      <c r="F10" s="5" t="str">
        <f t="shared" si="3"/>
        <v>Q1</v>
      </c>
      <c r="G10" s="5">
        <v>1885</v>
      </c>
      <c r="H10" s="5">
        <v>1894.6</v>
      </c>
      <c r="I10" s="5">
        <v>1847</v>
      </c>
      <c r="J10" s="5">
        <v>1875.65</v>
      </c>
      <c r="K10" s="5">
        <v>1864</v>
      </c>
      <c r="L10" s="5">
        <v>1863.15</v>
      </c>
      <c r="M10" s="5">
        <v>1866.72</v>
      </c>
      <c r="N10" s="5">
        <v>2006.45</v>
      </c>
      <c r="O10" s="5">
        <v>1358.35</v>
      </c>
      <c r="P10" s="5">
        <v>5633947</v>
      </c>
      <c r="Q10" s="5">
        <v>222006</v>
      </c>
    </row>
    <row r="11" spans="1:29" x14ac:dyDescent="0.25">
      <c r="A11" s="6">
        <v>45701</v>
      </c>
      <c r="B11" s="4" t="s">
        <v>17</v>
      </c>
      <c r="C11" s="5" t="str">
        <f t="shared" si="0"/>
        <v>Thursday</v>
      </c>
      <c r="D11" s="5" t="str">
        <f t="shared" si="1"/>
        <v>February</v>
      </c>
      <c r="E11" s="5" t="str">
        <f t="shared" si="2"/>
        <v>2025</v>
      </c>
      <c r="F11" s="5" t="str">
        <f t="shared" si="3"/>
        <v>Q1</v>
      </c>
      <c r="G11" s="5">
        <v>1868.5</v>
      </c>
      <c r="H11" s="5">
        <v>1873.5</v>
      </c>
      <c r="I11" s="5">
        <v>1835.65</v>
      </c>
      <c r="J11" s="5">
        <v>1863.15</v>
      </c>
      <c r="K11" s="5">
        <v>1840.65</v>
      </c>
      <c r="L11" s="5">
        <v>1843.25</v>
      </c>
      <c r="M11" s="5">
        <v>1851.21</v>
      </c>
      <c r="N11" s="5">
        <v>2006.45</v>
      </c>
      <c r="O11" s="5">
        <v>1358.35</v>
      </c>
      <c r="P11" s="5">
        <v>5237744</v>
      </c>
      <c r="Q11" s="5">
        <v>192119</v>
      </c>
    </row>
    <row r="12" spans="1:29" x14ac:dyDescent="0.25">
      <c r="A12" s="6">
        <v>45702</v>
      </c>
      <c r="B12" s="4" t="s">
        <v>17</v>
      </c>
      <c r="C12" s="5" t="str">
        <f t="shared" si="0"/>
        <v>Friday</v>
      </c>
      <c r="D12" s="5" t="str">
        <f t="shared" si="1"/>
        <v>February</v>
      </c>
      <c r="E12" s="5" t="str">
        <f t="shared" si="2"/>
        <v>2025</v>
      </c>
      <c r="F12" s="5" t="str">
        <f t="shared" si="3"/>
        <v>Q1</v>
      </c>
      <c r="G12" s="5">
        <v>1854</v>
      </c>
      <c r="H12" s="5">
        <v>1859.3</v>
      </c>
      <c r="I12" s="5">
        <v>1828.35</v>
      </c>
      <c r="J12" s="5">
        <v>1843.25</v>
      </c>
      <c r="K12" s="5">
        <v>1853</v>
      </c>
      <c r="L12" s="5">
        <v>1856.4</v>
      </c>
      <c r="M12" s="5">
        <v>1845.06</v>
      </c>
      <c r="N12" s="5">
        <v>2006.45</v>
      </c>
      <c r="O12" s="5">
        <v>1358.35</v>
      </c>
      <c r="P12" s="5">
        <v>5292961</v>
      </c>
      <c r="Q12" s="5">
        <v>179989</v>
      </c>
    </row>
    <row r="13" spans="1:29" x14ac:dyDescent="0.25">
      <c r="A13" s="6">
        <v>45705</v>
      </c>
      <c r="B13" s="4" t="s">
        <v>17</v>
      </c>
      <c r="C13" s="5" t="str">
        <f t="shared" si="0"/>
        <v>Monday</v>
      </c>
      <c r="D13" s="5" t="str">
        <f t="shared" si="1"/>
        <v>February</v>
      </c>
      <c r="E13" s="5" t="str">
        <f t="shared" si="2"/>
        <v>2025</v>
      </c>
      <c r="F13" s="5" t="str">
        <f t="shared" si="3"/>
        <v>Q1</v>
      </c>
      <c r="G13" s="5">
        <v>1838.55</v>
      </c>
      <c r="H13" s="5">
        <v>1852.75</v>
      </c>
      <c r="I13" s="5">
        <v>1822.15</v>
      </c>
      <c r="J13" s="5">
        <v>1856.4</v>
      </c>
      <c r="K13" s="5">
        <v>1843.05</v>
      </c>
      <c r="L13" s="5">
        <v>1842.3</v>
      </c>
      <c r="M13" s="5">
        <v>1838.63</v>
      </c>
      <c r="N13" s="5">
        <v>2006.45</v>
      </c>
      <c r="O13" s="5">
        <v>1358.35</v>
      </c>
      <c r="P13" s="5">
        <v>4428956</v>
      </c>
      <c r="Q13" s="5">
        <v>149656</v>
      </c>
    </row>
    <row r="14" spans="1:29" x14ac:dyDescent="0.25">
      <c r="A14" s="6">
        <v>45706</v>
      </c>
      <c r="B14" s="4" t="s">
        <v>17</v>
      </c>
      <c r="C14" s="5" t="str">
        <f t="shared" si="0"/>
        <v>Tuesday</v>
      </c>
      <c r="D14" s="5" t="str">
        <f t="shared" si="1"/>
        <v>February</v>
      </c>
      <c r="E14" s="5" t="str">
        <f t="shared" si="2"/>
        <v>2025</v>
      </c>
      <c r="F14" s="5" t="str">
        <f t="shared" si="3"/>
        <v>Q1</v>
      </c>
      <c r="G14" s="5">
        <v>1842.3</v>
      </c>
      <c r="H14" s="5">
        <v>1861.65</v>
      </c>
      <c r="I14" s="5">
        <v>1837.6</v>
      </c>
      <c r="J14" s="5">
        <v>1842.3</v>
      </c>
      <c r="K14" s="5">
        <v>1848</v>
      </c>
      <c r="L14" s="5">
        <v>1851.95</v>
      </c>
      <c r="M14" s="5">
        <v>1848.81</v>
      </c>
      <c r="N14" s="5">
        <v>2006.45</v>
      </c>
      <c r="O14" s="5">
        <v>1358.35</v>
      </c>
      <c r="P14" s="5">
        <v>4365260</v>
      </c>
      <c r="Q14" s="5">
        <v>100362</v>
      </c>
    </row>
    <row r="15" spans="1:29" x14ac:dyDescent="0.25">
      <c r="A15" s="6">
        <v>45707</v>
      </c>
      <c r="B15" s="4" t="s">
        <v>17</v>
      </c>
      <c r="C15" s="5" t="str">
        <f t="shared" si="0"/>
        <v>Wednesday</v>
      </c>
      <c r="D15" s="5" t="str">
        <f t="shared" si="1"/>
        <v>February</v>
      </c>
      <c r="E15" s="5" t="str">
        <f t="shared" si="2"/>
        <v>2025</v>
      </c>
      <c r="F15" s="5" t="str">
        <f t="shared" si="3"/>
        <v>Q1</v>
      </c>
      <c r="G15" s="5">
        <v>1847.4</v>
      </c>
      <c r="H15" s="5">
        <v>1849.2</v>
      </c>
      <c r="I15" s="5">
        <v>1805.9</v>
      </c>
      <c r="J15" s="5">
        <v>1851.95</v>
      </c>
      <c r="K15" s="5">
        <v>1810.85</v>
      </c>
      <c r="L15" s="5">
        <v>1810.8</v>
      </c>
      <c r="M15" s="5">
        <v>1820.83</v>
      </c>
      <c r="N15" s="5">
        <v>2006.45</v>
      </c>
      <c r="O15" s="5">
        <v>1358.35</v>
      </c>
      <c r="P15" s="5">
        <v>4611411</v>
      </c>
      <c r="Q15" s="5">
        <v>214412</v>
      </c>
    </row>
    <row r="16" spans="1:29" x14ac:dyDescent="0.25">
      <c r="A16" s="6">
        <v>45708</v>
      </c>
      <c r="B16" s="4" t="s">
        <v>17</v>
      </c>
      <c r="C16" s="5" t="str">
        <f t="shared" si="0"/>
        <v>Thursday</v>
      </c>
      <c r="D16" s="5" t="str">
        <f t="shared" si="1"/>
        <v>February</v>
      </c>
      <c r="E16" s="5" t="str">
        <f t="shared" si="2"/>
        <v>2025</v>
      </c>
      <c r="F16" s="5" t="str">
        <f t="shared" si="3"/>
        <v>Q1</v>
      </c>
      <c r="G16" s="5">
        <v>1805.55</v>
      </c>
      <c r="H16" s="5">
        <v>1831</v>
      </c>
      <c r="I16" s="5">
        <v>1805.55</v>
      </c>
      <c r="J16" s="5">
        <v>1810.8</v>
      </c>
      <c r="K16" s="5">
        <v>1826</v>
      </c>
      <c r="L16" s="5">
        <v>1825.15</v>
      </c>
      <c r="M16" s="5">
        <v>1822.29</v>
      </c>
      <c r="N16" s="5">
        <v>2006.45</v>
      </c>
      <c r="O16" s="5">
        <v>1358.35</v>
      </c>
      <c r="P16" s="5">
        <v>2218020</v>
      </c>
      <c r="Q16" s="5">
        <v>116360</v>
      </c>
    </row>
    <row r="17" spans="1:17" x14ac:dyDescent="0.25">
      <c r="A17" s="6">
        <v>45709</v>
      </c>
      <c r="B17" s="4" t="s">
        <v>17</v>
      </c>
      <c r="C17" s="5" t="str">
        <f t="shared" si="0"/>
        <v>Friday</v>
      </c>
      <c r="D17" s="5" t="str">
        <f t="shared" si="1"/>
        <v>February</v>
      </c>
      <c r="E17" s="5" t="str">
        <f t="shared" si="2"/>
        <v>2025</v>
      </c>
      <c r="F17" s="5" t="str">
        <f t="shared" si="3"/>
        <v>Q1</v>
      </c>
      <c r="G17" s="5">
        <v>1821.8</v>
      </c>
      <c r="H17" s="5">
        <v>1829.85</v>
      </c>
      <c r="I17" s="5">
        <v>1806.2</v>
      </c>
      <c r="J17" s="5">
        <v>1825.15</v>
      </c>
      <c r="K17" s="5">
        <v>1815</v>
      </c>
      <c r="L17" s="5">
        <v>1815</v>
      </c>
      <c r="M17" s="5">
        <v>1817.56</v>
      </c>
      <c r="N17" s="5">
        <v>2006.45</v>
      </c>
      <c r="O17" s="5">
        <v>1358.35</v>
      </c>
      <c r="P17" s="5">
        <v>3379879</v>
      </c>
      <c r="Q17" s="5">
        <v>101664</v>
      </c>
    </row>
    <row r="18" spans="1:17" x14ac:dyDescent="0.25">
      <c r="A18" s="6">
        <v>45712</v>
      </c>
      <c r="B18" s="4" t="s">
        <v>17</v>
      </c>
      <c r="C18" s="5" t="str">
        <f t="shared" si="0"/>
        <v>Monday</v>
      </c>
      <c r="D18" s="5" t="str">
        <f t="shared" si="1"/>
        <v>February</v>
      </c>
      <c r="E18" s="5" t="str">
        <f t="shared" si="2"/>
        <v>2025</v>
      </c>
      <c r="F18" s="5" t="str">
        <f t="shared" si="3"/>
        <v>Q1</v>
      </c>
      <c r="G18" s="5">
        <v>1800.05</v>
      </c>
      <c r="H18" s="5">
        <v>1808</v>
      </c>
      <c r="I18" s="5">
        <v>1750.25</v>
      </c>
      <c r="J18" s="5">
        <v>1815</v>
      </c>
      <c r="K18" s="5">
        <v>1763</v>
      </c>
      <c r="L18" s="5">
        <v>1764.1</v>
      </c>
      <c r="M18" s="5">
        <v>1766.73</v>
      </c>
      <c r="N18" s="5">
        <v>2006.45</v>
      </c>
      <c r="O18" s="5">
        <v>1358.35</v>
      </c>
      <c r="P18" s="5">
        <v>7594720</v>
      </c>
      <c r="Q18" s="5">
        <v>362392</v>
      </c>
    </row>
    <row r="19" spans="1:17" x14ac:dyDescent="0.25">
      <c r="A19" s="6">
        <v>45713</v>
      </c>
      <c r="B19" s="4" t="s">
        <v>17</v>
      </c>
      <c r="C19" s="5" t="str">
        <f t="shared" si="0"/>
        <v>Tuesday</v>
      </c>
      <c r="D19" s="5" t="str">
        <f t="shared" si="1"/>
        <v>February</v>
      </c>
      <c r="E19" s="5" t="str">
        <f t="shared" si="2"/>
        <v>2025</v>
      </c>
      <c r="F19" s="5" t="str">
        <f t="shared" si="3"/>
        <v>Q1</v>
      </c>
      <c r="G19" s="5">
        <v>1745.15</v>
      </c>
      <c r="H19" s="5">
        <v>1778.45</v>
      </c>
      <c r="I19" s="5">
        <v>1745.15</v>
      </c>
      <c r="J19" s="5">
        <v>1764.1</v>
      </c>
      <c r="K19" s="5">
        <v>1766.75</v>
      </c>
      <c r="L19" s="5">
        <v>1767.7</v>
      </c>
      <c r="M19" s="5">
        <v>1766.12</v>
      </c>
      <c r="N19" s="5">
        <v>2006.45</v>
      </c>
      <c r="O19" s="5">
        <v>1358.35</v>
      </c>
      <c r="P19" s="5">
        <v>5092963</v>
      </c>
      <c r="Q19" s="5">
        <v>192822</v>
      </c>
    </row>
    <row r="20" spans="1:17" x14ac:dyDescent="0.25">
      <c r="A20" s="6">
        <v>45715</v>
      </c>
      <c r="B20" s="4" t="s">
        <v>17</v>
      </c>
      <c r="C20" s="5" t="str">
        <f t="shared" si="0"/>
        <v>Thursday</v>
      </c>
      <c r="D20" s="5" t="str">
        <f t="shared" si="1"/>
        <v>February</v>
      </c>
      <c r="E20" s="5" t="str">
        <f t="shared" si="2"/>
        <v>2025</v>
      </c>
      <c r="F20" s="5" t="str">
        <f t="shared" si="3"/>
        <v>Q1</v>
      </c>
      <c r="G20" s="5">
        <v>1755.2</v>
      </c>
      <c r="H20" s="5">
        <v>1775.85</v>
      </c>
      <c r="I20" s="5">
        <v>1751.1</v>
      </c>
      <c r="J20" s="5">
        <v>1767.7</v>
      </c>
      <c r="K20" s="5">
        <v>1763</v>
      </c>
      <c r="L20" s="5">
        <v>1764.3</v>
      </c>
      <c r="M20" s="5">
        <v>1763.43</v>
      </c>
      <c r="N20" s="5">
        <v>2006.45</v>
      </c>
      <c r="O20" s="5">
        <v>1358.35</v>
      </c>
      <c r="P20" s="5">
        <v>5757079</v>
      </c>
      <c r="Q20" s="5">
        <v>168385</v>
      </c>
    </row>
    <row r="21" spans="1:17" x14ac:dyDescent="0.25">
      <c r="A21" s="6">
        <v>45716</v>
      </c>
      <c r="B21" s="4" t="s">
        <v>17</v>
      </c>
      <c r="C21" s="5" t="str">
        <f t="shared" si="0"/>
        <v>Friday</v>
      </c>
      <c r="D21" s="5" t="str">
        <f t="shared" si="1"/>
        <v>February</v>
      </c>
      <c r="E21" s="5" t="str">
        <f t="shared" si="2"/>
        <v>2025</v>
      </c>
      <c r="F21" s="5" t="str">
        <f t="shared" si="3"/>
        <v>Q1</v>
      </c>
      <c r="G21" s="5">
        <v>1755.05</v>
      </c>
      <c r="H21" s="5">
        <v>1755.1</v>
      </c>
      <c r="I21" s="5">
        <v>1682.45</v>
      </c>
      <c r="J21" s="5">
        <v>1764.3</v>
      </c>
      <c r="K21" s="5">
        <v>1693</v>
      </c>
      <c r="L21" s="5">
        <v>1687.7</v>
      </c>
      <c r="M21" s="5">
        <v>1694.54</v>
      </c>
      <c r="N21" s="5">
        <v>2006.45</v>
      </c>
      <c r="O21" s="5">
        <v>1358.35</v>
      </c>
      <c r="P21" s="5">
        <v>12182167</v>
      </c>
      <c r="Q21" s="5">
        <v>460200</v>
      </c>
    </row>
    <row r="22" spans="1:17" x14ac:dyDescent="0.25">
      <c r="A22" s="3">
        <v>45719</v>
      </c>
      <c r="B22" s="4" t="s">
        <v>17</v>
      </c>
      <c r="C22" s="5" t="str">
        <f t="shared" si="0"/>
        <v>Monday</v>
      </c>
      <c r="D22" s="5" t="str">
        <f t="shared" si="1"/>
        <v>March</v>
      </c>
      <c r="E22" s="5" t="str">
        <f t="shared" si="2"/>
        <v>2025</v>
      </c>
      <c r="F22" s="5" t="str">
        <f t="shared" si="3"/>
        <v>Q1</v>
      </c>
      <c r="G22" s="5">
        <v>1692.3</v>
      </c>
      <c r="H22" s="5">
        <v>1728.6</v>
      </c>
      <c r="I22" s="5">
        <v>1692.3</v>
      </c>
      <c r="J22" s="5">
        <v>1687.7</v>
      </c>
      <c r="K22" s="5">
        <v>1711</v>
      </c>
      <c r="L22" s="5">
        <v>1708.6</v>
      </c>
      <c r="M22" s="5">
        <v>1711.06</v>
      </c>
      <c r="N22" s="5">
        <v>2006.45</v>
      </c>
      <c r="O22" s="5">
        <v>1358.35</v>
      </c>
      <c r="P22" s="5">
        <v>7504969</v>
      </c>
      <c r="Q22" s="5">
        <v>286660</v>
      </c>
    </row>
    <row r="23" spans="1:17" x14ac:dyDescent="0.25">
      <c r="A23" s="3">
        <v>45720</v>
      </c>
      <c r="B23" s="4" t="s">
        <v>17</v>
      </c>
      <c r="C23" s="5" t="str">
        <f t="shared" si="0"/>
        <v>Tuesday</v>
      </c>
      <c r="D23" s="5" t="str">
        <f t="shared" si="1"/>
        <v>March</v>
      </c>
      <c r="E23" s="5" t="str">
        <f t="shared" si="2"/>
        <v>2025</v>
      </c>
      <c r="F23" s="5" t="str">
        <f t="shared" si="3"/>
        <v>Q1</v>
      </c>
      <c r="G23" s="5">
        <v>1695</v>
      </c>
      <c r="H23" s="5">
        <v>1699</v>
      </c>
      <c r="I23" s="5">
        <v>1670</v>
      </c>
      <c r="J23" s="5">
        <v>1708.6</v>
      </c>
      <c r="K23" s="5">
        <v>1684</v>
      </c>
      <c r="L23" s="5">
        <v>1688.3</v>
      </c>
      <c r="M23" s="5">
        <v>1686.14</v>
      </c>
      <c r="N23" s="5">
        <v>2006.45</v>
      </c>
      <c r="O23" s="5">
        <v>1358.35</v>
      </c>
      <c r="P23" s="5">
        <v>6759673</v>
      </c>
      <c r="Q23" s="5">
        <v>244487</v>
      </c>
    </row>
    <row r="24" spans="1:17" x14ac:dyDescent="0.25">
      <c r="A24" s="3">
        <v>45721</v>
      </c>
      <c r="B24" s="4" t="s">
        <v>17</v>
      </c>
      <c r="C24" s="5" t="str">
        <f t="shared" si="0"/>
        <v>Wednesday</v>
      </c>
      <c r="D24" s="5" t="str">
        <f t="shared" si="1"/>
        <v>March</v>
      </c>
      <c r="E24" s="5" t="str">
        <f t="shared" si="2"/>
        <v>2025</v>
      </c>
      <c r="F24" s="5" t="str">
        <f t="shared" si="3"/>
        <v>Q1</v>
      </c>
      <c r="G24" s="5">
        <v>1692.45</v>
      </c>
      <c r="H24" s="5">
        <v>1732.95</v>
      </c>
      <c r="I24" s="5">
        <v>1692.45</v>
      </c>
      <c r="J24" s="5">
        <v>1688.3</v>
      </c>
      <c r="K24" s="5">
        <v>1707</v>
      </c>
      <c r="L24" s="5">
        <v>1711.5</v>
      </c>
      <c r="M24" s="5">
        <v>1714.51</v>
      </c>
      <c r="N24" s="5">
        <v>2006.45</v>
      </c>
      <c r="O24" s="5">
        <v>1358.35</v>
      </c>
      <c r="P24" s="5">
        <v>8180782</v>
      </c>
      <c r="Q24" s="5">
        <v>184308</v>
      </c>
    </row>
    <row r="25" spans="1:17" x14ac:dyDescent="0.25">
      <c r="A25" s="3">
        <v>45722</v>
      </c>
      <c r="B25" s="4" t="s">
        <v>17</v>
      </c>
      <c r="C25" s="5" t="str">
        <f t="shared" si="0"/>
        <v>Thursday</v>
      </c>
      <c r="D25" s="5" t="str">
        <f t="shared" si="1"/>
        <v>March</v>
      </c>
      <c r="E25" s="5" t="str">
        <f t="shared" si="2"/>
        <v>2025</v>
      </c>
      <c r="F25" s="5" t="str">
        <f t="shared" si="3"/>
        <v>Q1</v>
      </c>
      <c r="G25" s="5">
        <v>1715</v>
      </c>
      <c r="H25" s="5">
        <v>1722.3</v>
      </c>
      <c r="I25" s="5">
        <v>1691.1</v>
      </c>
      <c r="J25" s="5">
        <v>1711.5</v>
      </c>
      <c r="K25" s="5">
        <v>1712</v>
      </c>
      <c r="L25" s="5">
        <v>1715.85</v>
      </c>
      <c r="M25" s="5">
        <v>1709.66</v>
      </c>
      <c r="N25" s="5">
        <v>2006.45</v>
      </c>
      <c r="O25" s="5">
        <v>1358.35</v>
      </c>
      <c r="P25" s="5">
        <v>10610547</v>
      </c>
      <c r="Q25" s="5">
        <v>236281</v>
      </c>
    </row>
    <row r="26" spans="1:17" x14ac:dyDescent="0.25">
      <c r="A26" s="3">
        <v>45723</v>
      </c>
      <c r="B26" s="4" t="s">
        <v>17</v>
      </c>
      <c r="C26" s="5" t="str">
        <f t="shared" si="0"/>
        <v>Friday</v>
      </c>
      <c r="D26" s="5" t="str">
        <f t="shared" si="1"/>
        <v>March</v>
      </c>
      <c r="E26" s="5" t="str">
        <f t="shared" si="2"/>
        <v>2025</v>
      </c>
      <c r="F26" s="5" t="str">
        <f t="shared" si="3"/>
        <v>Q1</v>
      </c>
      <c r="G26" s="5">
        <v>1703.1</v>
      </c>
      <c r="H26" s="5">
        <v>1705</v>
      </c>
      <c r="I26" s="5">
        <v>1675.5</v>
      </c>
      <c r="J26" s="5">
        <v>1715.85</v>
      </c>
      <c r="K26" s="5">
        <v>1685</v>
      </c>
      <c r="L26" s="5">
        <v>1686</v>
      </c>
      <c r="M26" s="5">
        <v>1686.32</v>
      </c>
      <c r="N26" s="5">
        <v>2006.45</v>
      </c>
      <c r="O26" s="5">
        <v>1358.35</v>
      </c>
      <c r="P26" s="5">
        <v>8019331</v>
      </c>
      <c r="Q26" s="5">
        <v>234031</v>
      </c>
    </row>
    <row r="27" spans="1:17" x14ac:dyDescent="0.25">
      <c r="A27" s="6">
        <v>45726</v>
      </c>
      <c r="B27" s="4" t="s">
        <v>17</v>
      </c>
      <c r="C27" s="5" t="str">
        <f t="shared" si="0"/>
        <v>Monday</v>
      </c>
      <c r="D27" s="5" t="str">
        <f t="shared" si="1"/>
        <v>March</v>
      </c>
      <c r="E27" s="5" t="str">
        <f t="shared" si="2"/>
        <v>2025</v>
      </c>
      <c r="F27" s="5" t="str">
        <f t="shared" si="3"/>
        <v>Q1</v>
      </c>
      <c r="G27" s="5">
        <v>1686</v>
      </c>
      <c r="H27" s="5">
        <v>1719</v>
      </c>
      <c r="I27" s="5">
        <v>1676.2</v>
      </c>
      <c r="J27" s="5">
        <v>1686</v>
      </c>
      <c r="K27" s="5">
        <v>1700.05</v>
      </c>
      <c r="L27" s="5">
        <v>1701.45</v>
      </c>
      <c r="M27" s="5">
        <v>1703.14</v>
      </c>
      <c r="N27" s="5">
        <v>2006.45</v>
      </c>
      <c r="O27" s="5">
        <v>1358.35</v>
      </c>
      <c r="P27" s="5">
        <v>7558981</v>
      </c>
      <c r="Q27" s="5">
        <v>184536</v>
      </c>
    </row>
    <row r="28" spans="1:17" x14ac:dyDescent="0.25">
      <c r="A28" s="6">
        <v>45727</v>
      </c>
      <c r="B28" s="4" t="s">
        <v>17</v>
      </c>
      <c r="C28" s="5" t="str">
        <f t="shared" si="0"/>
        <v>Tuesday</v>
      </c>
      <c r="D28" s="5" t="str">
        <f t="shared" si="1"/>
        <v>March</v>
      </c>
      <c r="E28" s="5" t="str">
        <f t="shared" si="2"/>
        <v>2025</v>
      </c>
      <c r="F28" s="5" t="str">
        <f t="shared" si="3"/>
        <v>Q1</v>
      </c>
      <c r="G28" s="5">
        <v>1680</v>
      </c>
      <c r="H28" s="5">
        <v>1680</v>
      </c>
      <c r="I28" s="5">
        <v>1637.05</v>
      </c>
      <c r="J28" s="5">
        <v>1701.45</v>
      </c>
      <c r="K28" s="5">
        <v>1667</v>
      </c>
      <c r="L28" s="5">
        <v>1661.6</v>
      </c>
      <c r="M28" s="5">
        <v>1655.07</v>
      </c>
      <c r="N28" s="5">
        <v>2006.45</v>
      </c>
      <c r="O28" s="5">
        <v>1358.35</v>
      </c>
      <c r="P28" s="5">
        <v>12671234</v>
      </c>
      <c r="Q28" s="5">
        <v>259181</v>
      </c>
    </row>
    <row r="29" spans="1:17" x14ac:dyDescent="0.25">
      <c r="A29" s="6">
        <v>45728</v>
      </c>
      <c r="B29" s="4" t="s">
        <v>17</v>
      </c>
      <c r="C29" s="5" t="str">
        <f t="shared" si="0"/>
        <v>Wednesday</v>
      </c>
      <c r="D29" s="5" t="str">
        <f t="shared" si="1"/>
        <v>March</v>
      </c>
      <c r="E29" s="5" t="str">
        <f t="shared" si="2"/>
        <v>2025</v>
      </c>
      <c r="F29" s="5" t="str">
        <f t="shared" si="3"/>
        <v>Q1</v>
      </c>
      <c r="G29" s="5">
        <v>1636.9</v>
      </c>
      <c r="H29" s="5">
        <v>1636.9</v>
      </c>
      <c r="I29" s="5">
        <v>1563.8</v>
      </c>
      <c r="J29" s="5">
        <v>1661.6</v>
      </c>
      <c r="K29" s="5">
        <v>1590.05</v>
      </c>
      <c r="L29" s="5">
        <v>1590.85</v>
      </c>
      <c r="M29" s="5">
        <v>1586.51</v>
      </c>
      <c r="N29" s="5">
        <v>2006.45</v>
      </c>
      <c r="O29" s="5">
        <v>1358.35</v>
      </c>
      <c r="P29" s="5">
        <v>14870008</v>
      </c>
      <c r="Q29" s="5">
        <v>491121</v>
      </c>
    </row>
    <row r="30" spans="1:17" x14ac:dyDescent="0.25">
      <c r="A30" s="6">
        <v>45729</v>
      </c>
      <c r="B30" s="4" t="s">
        <v>17</v>
      </c>
      <c r="C30" s="5" t="str">
        <f t="shared" si="0"/>
        <v>Thursday</v>
      </c>
      <c r="D30" s="5" t="str">
        <f t="shared" si="1"/>
        <v>March</v>
      </c>
      <c r="E30" s="5" t="str">
        <f t="shared" si="2"/>
        <v>2025</v>
      </c>
      <c r="F30" s="5" t="str">
        <f t="shared" si="3"/>
        <v>Q1</v>
      </c>
      <c r="G30" s="5">
        <v>1599.25</v>
      </c>
      <c r="H30" s="5">
        <v>1606.05</v>
      </c>
      <c r="I30" s="5">
        <v>1570.3</v>
      </c>
      <c r="J30" s="5">
        <v>1590.85</v>
      </c>
      <c r="K30" s="5">
        <v>1579</v>
      </c>
      <c r="L30" s="5">
        <v>1579.85</v>
      </c>
      <c r="M30" s="5">
        <v>1582.31</v>
      </c>
      <c r="N30" s="5">
        <v>2006.45</v>
      </c>
      <c r="O30" s="5">
        <v>1358.35</v>
      </c>
      <c r="P30" s="5">
        <v>7822888</v>
      </c>
      <c r="Q30" s="5">
        <v>258464</v>
      </c>
    </row>
    <row r="31" spans="1:17" x14ac:dyDescent="0.25">
      <c r="A31" s="6">
        <v>45733</v>
      </c>
      <c r="B31" s="4" t="s">
        <v>17</v>
      </c>
      <c r="C31" s="5" t="str">
        <f t="shared" si="0"/>
        <v>Monday</v>
      </c>
      <c r="D31" s="5" t="str">
        <f t="shared" si="1"/>
        <v>March</v>
      </c>
      <c r="E31" s="5" t="str">
        <f t="shared" si="2"/>
        <v>2025</v>
      </c>
      <c r="F31" s="5" t="str">
        <f t="shared" si="3"/>
        <v>Q1</v>
      </c>
      <c r="G31" s="5">
        <v>1545.15</v>
      </c>
      <c r="H31" s="5">
        <v>1594</v>
      </c>
      <c r="I31" s="5">
        <v>1545.15</v>
      </c>
      <c r="J31" s="5">
        <v>1579.85</v>
      </c>
      <c r="K31" s="5">
        <v>1590</v>
      </c>
      <c r="L31" s="5">
        <v>1590.05</v>
      </c>
      <c r="M31" s="5">
        <v>1581.7</v>
      </c>
      <c r="N31" s="5">
        <v>2006.45</v>
      </c>
      <c r="O31" s="5">
        <v>1358.35</v>
      </c>
      <c r="P31" s="5">
        <v>7526032</v>
      </c>
      <c r="Q31" s="5">
        <v>220262</v>
      </c>
    </row>
    <row r="32" spans="1:17" x14ac:dyDescent="0.25">
      <c r="A32" s="6">
        <v>45734</v>
      </c>
      <c r="B32" s="4" t="s">
        <v>17</v>
      </c>
      <c r="C32" s="5" t="str">
        <f t="shared" si="0"/>
        <v>Tuesday</v>
      </c>
      <c r="D32" s="5" t="str">
        <f t="shared" si="1"/>
        <v>March</v>
      </c>
      <c r="E32" s="5" t="str">
        <f t="shared" si="2"/>
        <v>2025</v>
      </c>
      <c r="F32" s="5" t="str">
        <f t="shared" si="3"/>
        <v>Q1</v>
      </c>
      <c r="G32" s="5">
        <v>1597.65</v>
      </c>
      <c r="H32" s="5">
        <v>1612.9</v>
      </c>
      <c r="I32" s="5">
        <v>1582.35</v>
      </c>
      <c r="J32" s="5">
        <v>1590.05</v>
      </c>
      <c r="K32" s="5">
        <v>1608.2</v>
      </c>
      <c r="L32" s="5">
        <v>1609.35</v>
      </c>
      <c r="M32" s="5">
        <v>1602.43</v>
      </c>
      <c r="N32" s="5">
        <v>2006.45</v>
      </c>
      <c r="O32" s="5">
        <v>1358.35</v>
      </c>
      <c r="P32" s="5">
        <v>6298054</v>
      </c>
      <c r="Q32" s="5">
        <v>157097</v>
      </c>
    </row>
    <row r="33" spans="1:17" x14ac:dyDescent="0.25">
      <c r="A33" s="6">
        <v>45735</v>
      </c>
      <c r="B33" s="4" t="s">
        <v>17</v>
      </c>
      <c r="C33" s="5" t="str">
        <f t="shared" si="0"/>
        <v>Wednesday</v>
      </c>
      <c r="D33" s="5" t="str">
        <f t="shared" si="1"/>
        <v>March</v>
      </c>
      <c r="E33" s="5" t="str">
        <f t="shared" si="2"/>
        <v>2025</v>
      </c>
      <c r="F33" s="5" t="str">
        <f t="shared" si="3"/>
        <v>Q1</v>
      </c>
      <c r="G33" s="5">
        <v>1603</v>
      </c>
      <c r="H33" s="5">
        <v>1603</v>
      </c>
      <c r="I33" s="5">
        <v>1572.8</v>
      </c>
      <c r="J33" s="5">
        <v>1609.35</v>
      </c>
      <c r="K33" s="5">
        <v>1589.1</v>
      </c>
      <c r="L33" s="5">
        <v>1586.55</v>
      </c>
      <c r="M33" s="5">
        <v>1583.14</v>
      </c>
      <c r="N33" s="5">
        <v>2006.45</v>
      </c>
      <c r="O33" s="5">
        <v>1358.35</v>
      </c>
      <c r="P33" s="5">
        <v>7387068</v>
      </c>
      <c r="Q33" s="5">
        <v>250311</v>
      </c>
    </row>
    <row r="34" spans="1:17" x14ac:dyDescent="0.25">
      <c r="A34" s="6">
        <v>45736</v>
      </c>
      <c r="B34" s="4" t="s">
        <v>17</v>
      </c>
      <c r="C34" s="5" t="str">
        <f t="shared" si="0"/>
        <v>Thursday</v>
      </c>
      <c r="D34" s="5" t="str">
        <f t="shared" si="1"/>
        <v>March</v>
      </c>
      <c r="E34" s="5" t="str">
        <f t="shared" si="2"/>
        <v>2025</v>
      </c>
      <c r="F34" s="5" t="str">
        <f t="shared" si="3"/>
        <v>Q1</v>
      </c>
      <c r="G34" s="5">
        <v>1592</v>
      </c>
      <c r="H34" s="5">
        <v>1631.9</v>
      </c>
      <c r="I34" s="5">
        <v>1592</v>
      </c>
      <c r="J34" s="5">
        <v>1586.55</v>
      </c>
      <c r="K34" s="5">
        <v>1609.05</v>
      </c>
      <c r="L34" s="5">
        <v>1615.55</v>
      </c>
      <c r="M34" s="5">
        <v>1616.31</v>
      </c>
      <c r="N34" s="5">
        <v>2006.45</v>
      </c>
      <c r="O34" s="5">
        <v>1358.35</v>
      </c>
      <c r="P34" s="5">
        <v>7186750</v>
      </c>
      <c r="Q34" s="5">
        <v>229276</v>
      </c>
    </row>
    <row r="35" spans="1:17" x14ac:dyDescent="0.25">
      <c r="A35" s="6">
        <v>45737</v>
      </c>
      <c r="B35" s="4" t="s">
        <v>17</v>
      </c>
      <c r="C35" s="5" t="str">
        <f t="shared" si="0"/>
        <v>Friday</v>
      </c>
      <c r="D35" s="5" t="str">
        <f t="shared" si="1"/>
        <v>March</v>
      </c>
      <c r="E35" s="5" t="str">
        <f t="shared" si="2"/>
        <v>2025</v>
      </c>
      <c r="F35" s="5" t="str">
        <f t="shared" si="3"/>
        <v>Q1</v>
      </c>
      <c r="G35" s="5">
        <v>1577.95</v>
      </c>
      <c r="H35" s="5">
        <v>1603.9</v>
      </c>
      <c r="I35" s="5">
        <v>1563.65</v>
      </c>
      <c r="J35" s="5">
        <v>1615.55</v>
      </c>
      <c r="K35" s="5">
        <v>1595.4</v>
      </c>
      <c r="L35" s="5">
        <v>1592.55</v>
      </c>
      <c r="M35" s="5">
        <v>1591.34</v>
      </c>
      <c r="N35" s="5">
        <v>2006.45</v>
      </c>
      <c r="O35" s="5">
        <v>1358.35</v>
      </c>
      <c r="P35" s="5">
        <v>10074677</v>
      </c>
      <c r="Q35" s="5">
        <v>241185</v>
      </c>
    </row>
    <row r="36" spans="1:17" x14ac:dyDescent="0.25">
      <c r="A36" s="6">
        <v>45740</v>
      </c>
      <c r="B36" s="4" t="s">
        <v>17</v>
      </c>
      <c r="C36" s="5" t="str">
        <f t="shared" si="0"/>
        <v>Monday</v>
      </c>
      <c r="D36" s="5" t="str">
        <f t="shared" si="1"/>
        <v>March</v>
      </c>
      <c r="E36" s="5" t="str">
        <f t="shared" si="2"/>
        <v>2025</v>
      </c>
      <c r="F36" s="5" t="str">
        <f t="shared" si="3"/>
        <v>Q1</v>
      </c>
      <c r="G36" s="5">
        <v>1597.95</v>
      </c>
      <c r="H36" s="5">
        <v>1607.1</v>
      </c>
      <c r="I36" s="5">
        <v>1572.7</v>
      </c>
      <c r="J36" s="5">
        <v>1592.55</v>
      </c>
      <c r="K36" s="5">
        <v>1593.95</v>
      </c>
      <c r="L36" s="5">
        <v>1592.75</v>
      </c>
      <c r="M36" s="5">
        <v>1588.76</v>
      </c>
      <c r="N36" s="5">
        <v>2006.45</v>
      </c>
      <c r="O36" s="5">
        <v>1358.35</v>
      </c>
      <c r="P36" s="5">
        <v>8857726</v>
      </c>
      <c r="Q36" s="5">
        <v>250512</v>
      </c>
    </row>
    <row r="37" spans="1:17" x14ac:dyDescent="0.25">
      <c r="A37" s="6">
        <v>45741</v>
      </c>
      <c r="B37" s="4" t="s">
        <v>17</v>
      </c>
      <c r="C37" s="5" t="str">
        <f t="shared" si="0"/>
        <v>Tuesday</v>
      </c>
      <c r="D37" s="5" t="str">
        <f t="shared" si="1"/>
        <v>March</v>
      </c>
      <c r="E37" s="5" t="str">
        <f t="shared" si="2"/>
        <v>2025</v>
      </c>
      <c r="F37" s="5" t="str">
        <f t="shared" si="3"/>
        <v>Q1</v>
      </c>
      <c r="G37" s="5">
        <v>1605</v>
      </c>
      <c r="H37" s="5">
        <v>1636.15</v>
      </c>
      <c r="I37" s="5">
        <v>1605</v>
      </c>
      <c r="J37" s="5">
        <v>1592.75</v>
      </c>
      <c r="K37" s="5">
        <v>1619.25</v>
      </c>
      <c r="L37" s="5">
        <v>1628.45</v>
      </c>
      <c r="M37" s="5">
        <v>1626.09</v>
      </c>
      <c r="N37" s="5">
        <v>2006.45</v>
      </c>
      <c r="O37" s="5">
        <v>1358.35</v>
      </c>
      <c r="P37" s="5">
        <v>9890140</v>
      </c>
      <c r="Q37" s="5">
        <v>266112</v>
      </c>
    </row>
    <row r="38" spans="1:17" x14ac:dyDescent="0.25">
      <c r="A38" s="6">
        <v>45742</v>
      </c>
      <c r="B38" s="4" t="s">
        <v>17</v>
      </c>
      <c r="C38" s="5" t="str">
        <f t="shared" si="0"/>
        <v>Wednesday</v>
      </c>
      <c r="D38" s="5" t="str">
        <f t="shared" si="1"/>
        <v>March</v>
      </c>
      <c r="E38" s="5" t="str">
        <f t="shared" si="2"/>
        <v>2025</v>
      </c>
      <c r="F38" s="5" t="str">
        <f t="shared" si="3"/>
        <v>Q1</v>
      </c>
      <c r="G38" s="5">
        <v>1626</v>
      </c>
      <c r="H38" s="5">
        <v>1637.75</v>
      </c>
      <c r="I38" s="5">
        <v>1595</v>
      </c>
      <c r="J38" s="5">
        <v>1628.45</v>
      </c>
      <c r="K38" s="5">
        <v>1599</v>
      </c>
      <c r="L38" s="5">
        <v>1599.45</v>
      </c>
      <c r="M38" s="5">
        <v>1610.78</v>
      </c>
      <c r="N38" s="5">
        <v>2006.45</v>
      </c>
      <c r="O38" s="5">
        <v>1358.35</v>
      </c>
      <c r="P38" s="5">
        <v>6651302</v>
      </c>
      <c r="Q38" s="5">
        <v>222554</v>
      </c>
    </row>
    <row r="39" spans="1:17" x14ac:dyDescent="0.25">
      <c r="A39" s="6">
        <v>45743</v>
      </c>
      <c r="B39" s="4" t="s">
        <v>17</v>
      </c>
      <c r="C39" s="5" t="str">
        <f t="shared" si="0"/>
        <v>Thursday</v>
      </c>
      <c r="D39" s="5" t="str">
        <f t="shared" si="1"/>
        <v>March</v>
      </c>
      <c r="E39" s="5" t="str">
        <f t="shared" si="2"/>
        <v>2025</v>
      </c>
      <c r="F39" s="5" t="str">
        <f t="shared" si="3"/>
        <v>Q1</v>
      </c>
      <c r="G39" s="5">
        <v>1595.55</v>
      </c>
      <c r="H39" s="5">
        <v>1619.95</v>
      </c>
      <c r="I39" s="5">
        <v>1586</v>
      </c>
      <c r="J39" s="5">
        <v>1599.45</v>
      </c>
      <c r="K39" s="5">
        <v>1605</v>
      </c>
      <c r="L39" s="5">
        <v>1603.55</v>
      </c>
      <c r="M39" s="5">
        <v>1601.41</v>
      </c>
      <c r="N39" s="5">
        <v>2006.45</v>
      </c>
      <c r="O39" s="5">
        <v>1358.35</v>
      </c>
      <c r="P39" s="5">
        <v>9426573</v>
      </c>
      <c r="Q39" s="5">
        <v>201020</v>
      </c>
    </row>
    <row r="40" spans="1:17" x14ac:dyDescent="0.25">
      <c r="A40" s="6">
        <v>45744</v>
      </c>
      <c r="B40" s="4" t="s">
        <v>17</v>
      </c>
      <c r="C40" s="5" t="str">
        <f t="shared" si="0"/>
        <v>Friday</v>
      </c>
      <c r="D40" s="5" t="str">
        <f t="shared" si="1"/>
        <v>March</v>
      </c>
      <c r="E40" s="5" t="str">
        <f t="shared" si="2"/>
        <v>2025</v>
      </c>
      <c r="F40" s="5" t="str">
        <f t="shared" si="3"/>
        <v>Q1</v>
      </c>
      <c r="G40" s="5">
        <v>1590</v>
      </c>
      <c r="H40" s="5">
        <v>1598.45</v>
      </c>
      <c r="I40" s="5">
        <v>1560</v>
      </c>
      <c r="J40" s="5">
        <v>1603.55</v>
      </c>
      <c r="K40" s="5">
        <v>1569</v>
      </c>
      <c r="L40" s="5">
        <v>1570.65</v>
      </c>
      <c r="M40" s="5">
        <v>1576.42</v>
      </c>
      <c r="N40" s="5">
        <v>2006.45</v>
      </c>
      <c r="O40" s="5">
        <v>1358.35</v>
      </c>
      <c r="P40" s="5">
        <v>6799047</v>
      </c>
      <c r="Q40" s="5">
        <v>217515</v>
      </c>
    </row>
    <row r="41" spans="1:17" x14ac:dyDescent="0.25">
      <c r="A41" s="3">
        <v>45748</v>
      </c>
      <c r="B41" s="4" t="s">
        <v>17</v>
      </c>
      <c r="C41" s="5" t="str">
        <f t="shared" si="0"/>
        <v>Tuesday</v>
      </c>
      <c r="D41" s="5" t="str">
        <f t="shared" si="1"/>
        <v>April</v>
      </c>
      <c r="E41" s="5" t="str">
        <f t="shared" si="2"/>
        <v>2025</v>
      </c>
      <c r="F41" s="5" t="str">
        <f t="shared" si="3"/>
        <v>Q2</v>
      </c>
      <c r="G41" s="5">
        <v>1539.25</v>
      </c>
      <c r="H41" s="5">
        <v>1547.4</v>
      </c>
      <c r="I41" s="5">
        <v>1517.85</v>
      </c>
      <c r="J41" s="5">
        <v>1570.65</v>
      </c>
      <c r="K41" s="5">
        <v>1530.2</v>
      </c>
      <c r="L41" s="5">
        <v>1526.5</v>
      </c>
      <c r="M41" s="5">
        <v>1529.41</v>
      </c>
      <c r="N41" s="5">
        <v>2006.45</v>
      </c>
      <c r="O41" s="5">
        <v>1358.35</v>
      </c>
      <c r="P41" s="5">
        <v>12680733</v>
      </c>
      <c r="Q41" s="5">
        <v>328764</v>
      </c>
    </row>
    <row r="42" spans="1:17" x14ac:dyDescent="0.25">
      <c r="A42" s="3">
        <v>45749</v>
      </c>
      <c r="B42" s="4" t="s">
        <v>17</v>
      </c>
      <c r="C42" s="5" t="str">
        <f t="shared" si="0"/>
        <v>Wednesday</v>
      </c>
      <c r="D42" s="5" t="str">
        <f t="shared" si="1"/>
        <v>April</v>
      </c>
      <c r="E42" s="5" t="str">
        <f t="shared" si="2"/>
        <v>2025</v>
      </c>
      <c r="F42" s="5" t="str">
        <f t="shared" si="3"/>
        <v>Q2</v>
      </c>
      <c r="G42" s="5">
        <v>1535.2</v>
      </c>
      <c r="H42" s="5">
        <v>1555.65</v>
      </c>
      <c r="I42" s="5">
        <v>1535.2</v>
      </c>
      <c r="J42" s="5">
        <v>1526.5</v>
      </c>
      <c r="K42" s="5">
        <v>1550</v>
      </c>
      <c r="L42" s="5">
        <v>1550.15</v>
      </c>
      <c r="M42" s="5">
        <v>1547.09</v>
      </c>
      <c r="N42" s="5">
        <v>2006.45</v>
      </c>
      <c r="O42" s="5">
        <v>1358.35</v>
      </c>
      <c r="P42" s="5">
        <v>6193478</v>
      </c>
      <c r="Q42" s="5">
        <v>183381</v>
      </c>
    </row>
    <row r="43" spans="1:17" x14ac:dyDescent="0.25">
      <c r="A43" s="3">
        <v>45750</v>
      </c>
      <c r="B43" s="4" t="s">
        <v>17</v>
      </c>
      <c r="C43" s="5" t="str">
        <f t="shared" si="0"/>
        <v>Thursday</v>
      </c>
      <c r="D43" s="5" t="str">
        <f t="shared" si="1"/>
        <v>April</v>
      </c>
      <c r="E43" s="5" t="str">
        <f t="shared" si="2"/>
        <v>2025</v>
      </c>
      <c r="F43" s="5" t="str">
        <f t="shared" si="3"/>
        <v>Q2</v>
      </c>
      <c r="G43" s="5">
        <v>1534.65</v>
      </c>
      <c r="H43" s="5">
        <v>1534.65</v>
      </c>
      <c r="I43" s="5">
        <v>1485.05</v>
      </c>
      <c r="J43" s="5">
        <v>1550.15</v>
      </c>
      <c r="K43" s="5">
        <v>1495.8</v>
      </c>
      <c r="L43" s="5">
        <v>1496.5</v>
      </c>
      <c r="M43" s="5">
        <v>1499.79</v>
      </c>
      <c r="N43" s="5">
        <v>2006.45</v>
      </c>
      <c r="O43" s="5">
        <v>1358.35</v>
      </c>
      <c r="P43" s="5">
        <v>10459504</v>
      </c>
      <c r="Q43" s="5">
        <v>390507</v>
      </c>
    </row>
    <row r="44" spans="1:17" x14ac:dyDescent="0.25">
      <c r="A44" s="3">
        <v>45751</v>
      </c>
      <c r="B44" s="4" t="s">
        <v>17</v>
      </c>
      <c r="C44" s="5" t="str">
        <f t="shared" si="0"/>
        <v>Friday</v>
      </c>
      <c r="D44" s="5" t="str">
        <f t="shared" si="1"/>
        <v>April</v>
      </c>
      <c r="E44" s="5" t="str">
        <f t="shared" si="2"/>
        <v>2025</v>
      </c>
      <c r="F44" s="5" t="str">
        <f t="shared" si="3"/>
        <v>Q2</v>
      </c>
      <c r="G44" s="5">
        <v>1460.5</v>
      </c>
      <c r="H44" s="5">
        <v>1472</v>
      </c>
      <c r="I44" s="5">
        <v>1448</v>
      </c>
      <c r="J44" s="5">
        <v>1496.5</v>
      </c>
      <c r="K44" s="5">
        <v>1456.1</v>
      </c>
      <c r="L44" s="5">
        <v>1451.65</v>
      </c>
      <c r="M44" s="5">
        <v>1458.65</v>
      </c>
      <c r="N44" s="5">
        <v>2006.45</v>
      </c>
      <c r="O44" s="5">
        <v>1358.35</v>
      </c>
      <c r="P44" s="5">
        <v>9590254</v>
      </c>
      <c r="Q44" s="5">
        <v>245192</v>
      </c>
    </row>
    <row r="45" spans="1:17" x14ac:dyDescent="0.25">
      <c r="A45" s="3">
        <v>45754</v>
      </c>
      <c r="B45" s="4" t="s">
        <v>17</v>
      </c>
      <c r="C45" s="5" t="str">
        <f t="shared" si="0"/>
        <v>Monday</v>
      </c>
      <c r="D45" s="5" t="str">
        <f t="shared" si="1"/>
        <v>April</v>
      </c>
      <c r="E45" s="5" t="str">
        <f t="shared" si="2"/>
        <v>2025</v>
      </c>
      <c r="F45" s="5" t="str">
        <f t="shared" si="3"/>
        <v>Q2</v>
      </c>
      <c r="G45" s="5">
        <v>1352</v>
      </c>
      <c r="H45" s="5">
        <v>1405.9</v>
      </c>
      <c r="I45" s="5">
        <v>1307</v>
      </c>
      <c r="J45" s="5">
        <v>1451.65</v>
      </c>
      <c r="K45" s="5">
        <v>1404.9</v>
      </c>
      <c r="L45" s="5">
        <v>1396.75</v>
      </c>
      <c r="M45" s="5">
        <v>1365.23</v>
      </c>
      <c r="N45" s="5">
        <v>2006.45</v>
      </c>
      <c r="O45" s="5">
        <v>1307</v>
      </c>
      <c r="P45" s="5">
        <v>21715252</v>
      </c>
      <c r="Q45" s="5">
        <v>445720</v>
      </c>
    </row>
    <row r="46" spans="1:17" x14ac:dyDescent="0.25">
      <c r="A46" s="3">
        <v>45755</v>
      </c>
      <c r="B46" s="4" t="s">
        <v>17</v>
      </c>
      <c r="C46" s="5" t="str">
        <f t="shared" si="0"/>
        <v>Tuesday</v>
      </c>
      <c r="D46" s="5" t="str">
        <f t="shared" si="1"/>
        <v>April</v>
      </c>
      <c r="E46" s="5" t="str">
        <f t="shared" si="2"/>
        <v>2025</v>
      </c>
      <c r="F46" s="5" t="str">
        <f t="shared" si="3"/>
        <v>Q2</v>
      </c>
      <c r="G46" s="5">
        <v>1431</v>
      </c>
      <c r="H46" s="5">
        <v>1456.5</v>
      </c>
      <c r="I46" s="5">
        <v>1415</v>
      </c>
      <c r="J46" s="5">
        <v>1396.75</v>
      </c>
      <c r="K46" s="5">
        <v>1428</v>
      </c>
      <c r="L46" s="5">
        <v>1428.8</v>
      </c>
      <c r="M46" s="5">
        <v>1435.73</v>
      </c>
      <c r="N46" s="5">
        <v>2006.45</v>
      </c>
      <c r="O46" s="5">
        <v>1307</v>
      </c>
      <c r="P46" s="5">
        <v>12805001</v>
      </c>
      <c r="Q46" s="5">
        <v>254762</v>
      </c>
    </row>
    <row r="47" spans="1:17" x14ac:dyDescent="0.25">
      <c r="A47" s="3">
        <v>45756</v>
      </c>
      <c r="B47" s="4" t="s">
        <v>17</v>
      </c>
      <c r="C47" s="5" t="str">
        <f t="shared" si="0"/>
        <v>Wednesday</v>
      </c>
      <c r="D47" s="5" t="str">
        <f t="shared" si="1"/>
        <v>April</v>
      </c>
      <c r="E47" s="5" t="str">
        <f t="shared" si="2"/>
        <v>2025</v>
      </c>
      <c r="F47" s="5" t="str">
        <f t="shared" si="3"/>
        <v>Q2</v>
      </c>
      <c r="G47" s="5">
        <v>1405.05</v>
      </c>
      <c r="H47" s="5">
        <v>1409.45</v>
      </c>
      <c r="I47" s="5">
        <v>1381.9</v>
      </c>
      <c r="J47" s="5">
        <v>1428.8</v>
      </c>
      <c r="K47" s="5">
        <v>1402</v>
      </c>
      <c r="L47" s="5">
        <v>1403.7</v>
      </c>
      <c r="M47" s="5">
        <v>1396.23</v>
      </c>
      <c r="N47" s="5">
        <v>2006.45</v>
      </c>
      <c r="O47" s="5">
        <v>1307</v>
      </c>
      <c r="P47" s="5">
        <v>8546854</v>
      </c>
      <c r="Q47" s="5">
        <v>220436</v>
      </c>
    </row>
    <row r="48" spans="1:17" x14ac:dyDescent="0.25">
      <c r="A48" s="6">
        <v>45758</v>
      </c>
      <c r="B48" s="4" t="s">
        <v>17</v>
      </c>
      <c r="C48" s="5" t="str">
        <f t="shared" si="0"/>
        <v>Friday</v>
      </c>
      <c r="D48" s="5" t="str">
        <f t="shared" si="1"/>
        <v>April</v>
      </c>
      <c r="E48" s="5" t="str">
        <f t="shared" si="2"/>
        <v>2025</v>
      </c>
      <c r="F48" s="5" t="str">
        <f t="shared" si="3"/>
        <v>Q2</v>
      </c>
      <c r="G48" s="5">
        <v>1411.25</v>
      </c>
      <c r="H48" s="5">
        <v>1438.8</v>
      </c>
      <c r="I48" s="5">
        <v>1397.05</v>
      </c>
      <c r="J48" s="5">
        <v>1403.7</v>
      </c>
      <c r="K48" s="5">
        <v>1416.8</v>
      </c>
      <c r="L48" s="5">
        <v>1409.45</v>
      </c>
      <c r="M48" s="5">
        <v>1418.1</v>
      </c>
      <c r="N48" s="5">
        <v>2006.45</v>
      </c>
      <c r="O48" s="5">
        <v>1307</v>
      </c>
      <c r="P48" s="5">
        <v>12567440</v>
      </c>
      <c r="Q48" s="5">
        <v>262867</v>
      </c>
    </row>
    <row r="49" spans="1:17" x14ac:dyDescent="0.25">
      <c r="A49" s="6">
        <v>45762</v>
      </c>
      <c r="B49" s="4" t="s">
        <v>17</v>
      </c>
      <c r="C49" s="5" t="str">
        <f t="shared" si="0"/>
        <v>Tuesday</v>
      </c>
      <c r="D49" s="5" t="str">
        <f t="shared" si="1"/>
        <v>April</v>
      </c>
      <c r="E49" s="5" t="str">
        <f t="shared" si="2"/>
        <v>2025</v>
      </c>
      <c r="F49" s="5" t="str">
        <f t="shared" si="3"/>
        <v>Q2</v>
      </c>
      <c r="G49" s="5">
        <v>1445.6</v>
      </c>
      <c r="H49" s="5">
        <v>1447.7</v>
      </c>
      <c r="I49" s="5">
        <v>1409</v>
      </c>
      <c r="J49" s="5">
        <v>1409.45</v>
      </c>
      <c r="K49" s="5">
        <v>1430.4</v>
      </c>
      <c r="L49" s="5">
        <v>1426</v>
      </c>
      <c r="M49" s="5">
        <v>1424.37</v>
      </c>
      <c r="N49" s="5">
        <v>2006.45</v>
      </c>
      <c r="O49" s="5">
        <v>1307</v>
      </c>
      <c r="P49" s="5">
        <v>10178530</v>
      </c>
      <c r="Q49" s="5">
        <v>258203</v>
      </c>
    </row>
    <row r="50" spans="1:17" x14ac:dyDescent="0.25">
      <c r="A50" s="6">
        <v>45763</v>
      </c>
      <c r="B50" s="4" t="s">
        <v>17</v>
      </c>
      <c r="C50" s="5" t="str">
        <f t="shared" si="0"/>
        <v>Wednesday</v>
      </c>
      <c r="D50" s="5" t="str">
        <f t="shared" si="1"/>
        <v>April</v>
      </c>
      <c r="E50" s="5" t="str">
        <f t="shared" si="2"/>
        <v>2025</v>
      </c>
      <c r="F50" s="5" t="str">
        <f t="shared" si="3"/>
        <v>Q2</v>
      </c>
      <c r="G50" s="5">
        <v>1425</v>
      </c>
      <c r="H50" s="5">
        <v>1427.5</v>
      </c>
      <c r="I50" s="5">
        <v>1396.8</v>
      </c>
      <c r="J50" s="5">
        <v>1426</v>
      </c>
      <c r="K50" s="5">
        <v>1412.2</v>
      </c>
      <c r="L50" s="5">
        <v>1413.1</v>
      </c>
      <c r="M50" s="5">
        <v>1409.87</v>
      </c>
      <c r="N50" s="5">
        <v>2006.45</v>
      </c>
      <c r="O50" s="5">
        <v>1307</v>
      </c>
      <c r="P50" s="5">
        <v>12022740</v>
      </c>
      <c r="Q50" s="5">
        <v>331555</v>
      </c>
    </row>
    <row r="51" spans="1:17" x14ac:dyDescent="0.25">
      <c r="A51" s="6">
        <v>45764</v>
      </c>
      <c r="B51" s="4" t="s">
        <v>17</v>
      </c>
      <c r="C51" s="5" t="str">
        <f t="shared" si="0"/>
        <v>Thursday</v>
      </c>
      <c r="D51" s="5" t="str">
        <f t="shared" si="1"/>
        <v>April</v>
      </c>
      <c r="E51" s="5" t="str">
        <f t="shared" si="2"/>
        <v>2025</v>
      </c>
      <c r="F51" s="5" t="str">
        <f t="shared" si="3"/>
        <v>Q2</v>
      </c>
      <c r="G51" s="5">
        <v>1398</v>
      </c>
      <c r="H51" s="5">
        <v>1429.8</v>
      </c>
      <c r="I51" s="5">
        <v>1378.3</v>
      </c>
      <c r="J51" s="5">
        <v>1413.1</v>
      </c>
      <c r="K51" s="5">
        <v>1427.7</v>
      </c>
      <c r="L51" s="5">
        <v>1419.5</v>
      </c>
      <c r="M51" s="5">
        <v>1400.17</v>
      </c>
      <c r="N51" s="5">
        <v>2006.45</v>
      </c>
      <c r="O51" s="5">
        <v>1307</v>
      </c>
      <c r="P51" s="5">
        <v>14264227</v>
      </c>
      <c r="Q51" s="5">
        <v>349779</v>
      </c>
    </row>
    <row r="52" spans="1:17" x14ac:dyDescent="0.25">
      <c r="A52" s="6">
        <v>45768</v>
      </c>
      <c r="B52" s="4" t="s">
        <v>17</v>
      </c>
      <c r="C52" s="5" t="str">
        <f t="shared" si="0"/>
        <v>Monday</v>
      </c>
      <c r="D52" s="5" t="str">
        <f t="shared" si="1"/>
        <v>April</v>
      </c>
      <c r="E52" s="5" t="str">
        <f t="shared" si="2"/>
        <v>2025</v>
      </c>
      <c r="F52" s="5" t="str">
        <f t="shared" si="3"/>
        <v>Q2</v>
      </c>
      <c r="G52" s="5">
        <v>1410</v>
      </c>
      <c r="H52" s="5">
        <v>1471.8</v>
      </c>
      <c r="I52" s="5">
        <v>1410</v>
      </c>
      <c r="J52" s="5">
        <v>1419.5</v>
      </c>
      <c r="K52" s="5">
        <v>1449</v>
      </c>
      <c r="L52" s="5">
        <v>1451</v>
      </c>
      <c r="M52" s="5">
        <v>1452.45</v>
      </c>
      <c r="N52" s="5">
        <v>2006.45</v>
      </c>
      <c r="O52" s="5">
        <v>1307</v>
      </c>
      <c r="P52" s="5">
        <v>15648970</v>
      </c>
      <c r="Q52" s="5">
        <v>271048</v>
      </c>
    </row>
    <row r="53" spans="1:17" x14ac:dyDescent="0.25">
      <c r="A53" s="6">
        <v>45769</v>
      </c>
      <c r="B53" s="4" t="s">
        <v>17</v>
      </c>
      <c r="C53" s="5" t="str">
        <f t="shared" si="0"/>
        <v>Tuesday</v>
      </c>
      <c r="D53" s="5" t="str">
        <f t="shared" si="1"/>
        <v>April</v>
      </c>
      <c r="E53" s="5" t="str">
        <f t="shared" si="2"/>
        <v>2025</v>
      </c>
      <c r="F53" s="5" t="str">
        <f t="shared" si="3"/>
        <v>Q2</v>
      </c>
      <c r="G53" s="5">
        <v>1440</v>
      </c>
      <c r="H53" s="5">
        <v>1440</v>
      </c>
      <c r="I53" s="5">
        <v>1419.3</v>
      </c>
      <c r="J53" s="5">
        <v>1451</v>
      </c>
      <c r="K53" s="5">
        <v>1423</v>
      </c>
      <c r="L53" s="5">
        <v>1422.8</v>
      </c>
      <c r="M53" s="5">
        <v>1425.14</v>
      </c>
      <c r="N53" s="5">
        <v>2006.45</v>
      </c>
      <c r="O53" s="5">
        <v>1307</v>
      </c>
      <c r="P53" s="5">
        <v>9399738</v>
      </c>
      <c r="Q53" s="5">
        <v>245817</v>
      </c>
    </row>
    <row r="54" spans="1:17" x14ac:dyDescent="0.25">
      <c r="A54" s="6">
        <v>45770</v>
      </c>
      <c r="B54" s="4" t="s">
        <v>17</v>
      </c>
      <c r="C54" s="5" t="str">
        <f t="shared" si="0"/>
        <v>Wednesday</v>
      </c>
      <c r="D54" s="5" t="str">
        <f t="shared" si="1"/>
        <v>April</v>
      </c>
      <c r="E54" s="5" t="str">
        <f t="shared" si="2"/>
        <v>2025</v>
      </c>
      <c r="F54" s="5" t="str">
        <f t="shared" si="3"/>
        <v>Q2</v>
      </c>
      <c r="G54" s="5">
        <v>1446</v>
      </c>
      <c r="H54" s="5">
        <v>1487.8</v>
      </c>
      <c r="I54" s="5">
        <v>1439.6</v>
      </c>
      <c r="J54" s="5">
        <v>1422.8</v>
      </c>
      <c r="K54" s="5">
        <v>1476.2</v>
      </c>
      <c r="L54" s="5">
        <v>1474.9</v>
      </c>
      <c r="M54" s="5">
        <v>1471.47</v>
      </c>
      <c r="N54" s="5">
        <v>2006.45</v>
      </c>
      <c r="O54" s="5">
        <v>1307</v>
      </c>
      <c r="P54" s="5">
        <v>11136642</v>
      </c>
      <c r="Q54" s="5">
        <v>249560</v>
      </c>
    </row>
    <row r="55" spans="1:17" x14ac:dyDescent="0.25">
      <c r="A55" s="6">
        <v>45771</v>
      </c>
      <c r="B55" s="4" t="s">
        <v>17</v>
      </c>
      <c r="C55" s="5" t="str">
        <f t="shared" si="0"/>
        <v>Thursday</v>
      </c>
      <c r="D55" s="5" t="str">
        <f t="shared" si="1"/>
        <v>April</v>
      </c>
      <c r="E55" s="5" t="str">
        <f t="shared" si="2"/>
        <v>2025</v>
      </c>
      <c r="F55" s="5" t="str">
        <f t="shared" si="3"/>
        <v>Q2</v>
      </c>
      <c r="G55" s="5">
        <v>1469.9</v>
      </c>
      <c r="H55" s="5">
        <v>1482.9</v>
      </c>
      <c r="I55" s="5">
        <v>1461.5</v>
      </c>
      <c r="J55" s="5">
        <v>1474.9</v>
      </c>
      <c r="K55" s="5">
        <v>1473</v>
      </c>
      <c r="L55" s="5">
        <v>1471.4</v>
      </c>
      <c r="M55" s="5">
        <v>1471.62</v>
      </c>
      <c r="N55" s="5">
        <v>2006.45</v>
      </c>
      <c r="O55" s="5">
        <v>1307</v>
      </c>
      <c r="P55" s="5">
        <v>7114292</v>
      </c>
      <c r="Q55" s="5">
        <v>175991</v>
      </c>
    </row>
    <row r="56" spans="1:17" x14ac:dyDescent="0.25">
      <c r="A56" s="6">
        <v>45772</v>
      </c>
      <c r="B56" s="4" t="s">
        <v>17</v>
      </c>
      <c r="C56" s="5" t="str">
        <f t="shared" si="0"/>
        <v>Friday</v>
      </c>
      <c r="D56" s="5" t="str">
        <f t="shared" si="1"/>
        <v>April</v>
      </c>
      <c r="E56" s="5" t="str">
        <f t="shared" si="2"/>
        <v>2025</v>
      </c>
      <c r="F56" s="5" t="str">
        <f t="shared" si="3"/>
        <v>Q2</v>
      </c>
      <c r="G56" s="5">
        <v>1475.5</v>
      </c>
      <c r="H56" s="5">
        <v>1501.7</v>
      </c>
      <c r="I56" s="5">
        <v>1463.5</v>
      </c>
      <c r="J56" s="5">
        <v>1471.4</v>
      </c>
      <c r="K56" s="5">
        <v>1480</v>
      </c>
      <c r="L56" s="5">
        <v>1480.2</v>
      </c>
      <c r="M56" s="5">
        <v>1484.47</v>
      </c>
      <c r="N56" s="5">
        <v>2006.45</v>
      </c>
      <c r="O56" s="5">
        <v>1307</v>
      </c>
      <c r="P56" s="5">
        <v>8329979</v>
      </c>
      <c r="Q56" s="5">
        <v>199876</v>
      </c>
    </row>
    <row r="57" spans="1:17" x14ac:dyDescent="0.25">
      <c r="A57" s="6">
        <v>45775</v>
      </c>
      <c r="B57" s="4" t="s">
        <v>17</v>
      </c>
      <c r="C57" s="5" t="str">
        <f t="shared" si="0"/>
        <v>Monday</v>
      </c>
      <c r="D57" s="5" t="str">
        <f t="shared" si="1"/>
        <v>April</v>
      </c>
      <c r="E57" s="5" t="str">
        <f t="shared" si="2"/>
        <v>2025</v>
      </c>
      <c r="F57" s="5" t="str">
        <f t="shared" si="3"/>
        <v>Q2</v>
      </c>
      <c r="G57" s="5">
        <v>1480.2</v>
      </c>
      <c r="H57" s="5">
        <v>1489.6</v>
      </c>
      <c r="I57" s="5">
        <v>1465.3</v>
      </c>
      <c r="J57" s="5">
        <v>1480.2</v>
      </c>
      <c r="K57" s="5">
        <v>1481</v>
      </c>
      <c r="L57" s="5">
        <v>1482.1</v>
      </c>
      <c r="M57" s="5">
        <v>1478.19</v>
      </c>
      <c r="N57" s="5">
        <v>2006.45</v>
      </c>
      <c r="O57" s="5">
        <v>1307</v>
      </c>
      <c r="P57" s="5">
        <v>5886253</v>
      </c>
      <c r="Q57" s="5">
        <v>146345</v>
      </c>
    </row>
    <row r="58" spans="1:17" x14ac:dyDescent="0.25">
      <c r="A58" s="6">
        <v>45776</v>
      </c>
      <c r="B58" s="4" t="s">
        <v>17</v>
      </c>
      <c r="C58" s="5" t="str">
        <f t="shared" si="0"/>
        <v>Tuesday</v>
      </c>
      <c r="D58" s="5" t="str">
        <f t="shared" si="1"/>
        <v>April</v>
      </c>
      <c r="E58" s="5" t="str">
        <f t="shared" si="2"/>
        <v>2025</v>
      </c>
      <c r="F58" s="5" t="str">
        <f t="shared" si="3"/>
        <v>Q2</v>
      </c>
      <c r="G58" s="5">
        <v>1482</v>
      </c>
      <c r="H58" s="5">
        <v>1509.8</v>
      </c>
      <c r="I58" s="5">
        <v>1474.1</v>
      </c>
      <c r="J58" s="5">
        <v>1482.1</v>
      </c>
      <c r="K58" s="5">
        <v>1498</v>
      </c>
      <c r="L58" s="5">
        <v>1497.5</v>
      </c>
      <c r="M58" s="5">
        <v>1495.87</v>
      </c>
      <c r="N58" s="5">
        <v>2006.45</v>
      </c>
      <c r="O58" s="5">
        <v>1307</v>
      </c>
      <c r="P58" s="5">
        <v>8056743</v>
      </c>
      <c r="Q58" s="5">
        <v>207221</v>
      </c>
    </row>
    <row r="59" spans="1:17" x14ac:dyDescent="0.25">
      <c r="A59" s="6">
        <v>45777</v>
      </c>
      <c r="B59" s="4" t="s">
        <v>17</v>
      </c>
      <c r="C59" s="5" t="str">
        <f t="shared" si="0"/>
        <v>Wednesday</v>
      </c>
      <c r="D59" s="5" t="str">
        <f t="shared" si="1"/>
        <v>April</v>
      </c>
      <c r="E59" s="5" t="str">
        <f t="shared" si="2"/>
        <v>2025</v>
      </c>
      <c r="F59" s="5" t="str">
        <f t="shared" si="3"/>
        <v>Q2</v>
      </c>
      <c r="G59" s="5">
        <v>1496.8</v>
      </c>
      <c r="H59" s="5">
        <v>1508.8</v>
      </c>
      <c r="I59" s="5">
        <v>1482.6</v>
      </c>
      <c r="J59" s="5">
        <v>1497.5</v>
      </c>
      <c r="K59" s="5">
        <v>1491.5</v>
      </c>
      <c r="L59" s="5">
        <v>1500.1</v>
      </c>
      <c r="M59" s="5">
        <v>1499.93</v>
      </c>
      <c r="N59" s="5">
        <v>2006.45</v>
      </c>
      <c r="O59" s="5">
        <v>1307</v>
      </c>
      <c r="P59" s="5">
        <v>7704183</v>
      </c>
      <c r="Q59" s="5">
        <v>128359</v>
      </c>
    </row>
    <row r="60" spans="1:17" x14ac:dyDescent="0.25">
      <c r="A60" s="7">
        <v>45779</v>
      </c>
      <c r="B60" s="4" t="s">
        <v>17</v>
      </c>
      <c r="C60" s="5" t="str">
        <f t="shared" si="0"/>
        <v>Friday</v>
      </c>
      <c r="D60" s="5" t="str">
        <f t="shared" si="1"/>
        <v>May</v>
      </c>
      <c r="E60" s="5" t="str">
        <f t="shared" si="2"/>
        <v>2025</v>
      </c>
      <c r="F60" s="5" t="str">
        <f t="shared" si="3"/>
        <v>Q2</v>
      </c>
      <c r="G60" s="5">
        <v>1499.7</v>
      </c>
      <c r="H60" s="5">
        <v>1523.2</v>
      </c>
      <c r="I60" s="5">
        <v>1496.2</v>
      </c>
      <c r="J60" s="5">
        <v>1500.1</v>
      </c>
      <c r="K60" s="5">
        <v>1502</v>
      </c>
      <c r="L60" s="5">
        <v>1506.8</v>
      </c>
      <c r="M60" s="5">
        <v>1509.45</v>
      </c>
      <c r="N60" s="5">
        <v>2006.45</v>
      </c>
      <c r="O60" s="5">
        <v>1307</v>
      </c>
      <c r="P60" s="5">
        <v>8733014</v>
      </c>
      <c r="Q60" s="5">
        <v>235475</v>
      </c>
    </row>
    <row r="61" spans="1:17" x14ac:dyDescent="0.25">
      <c r="A61" s="7">
        <v>45782</v>
      </c>
      <c r="B61" s="4" t="s">
        <v>17</v>
      </c>
      <c r="C61" s="5" t="str">
        <f t="shared" si="0"/>
        <v>Monday</v>
      </c>
      <c r="D61" s="5" t="str">
        <f t="shared" si="1"/>
        <v>May</v>
      </c>
      <c r="E61" s="5" t="str">
        <f t="shared" si="2"/>
        <v>2025</v>
      </c>
      <c r="F61" s="5" t="str">
        <f t="shared" si="3"/>
        <v>Q2</v>
      </c>
      <c r="G61" s="5">
        <v>1515</v>
      </c>
      <c r="H61" s="5">
        <v>1523</v>
      </c>
      <c r="I61" s="5">
        <v>1502.8</v>
      </c>
      <c r="J61" s="5">
        <v>1506.8</v>
      </c>
      <c r="K61" s="5">
        <v>1507</v>
      </c>
      <c r="L61" s="5">
        <v>1508.6</v>
      </c>
      <c r="M61" s="5">
        <v>1509.96</v>
      </c>
      <c r="N61" s="5">
        <v>2006.45</v>
      </c>
      <c r="O61" s="5">
        <v>1307</v>
      </c>
      <c r="P61" s="5">
        <v>4282493</v>
      </c>
      <c r="Q61" s="5">
        <v>130549</v>
      </c>
    </row>
    <row r="62" spans="1:17" x14ac:dyDescent="0.25">
      <c r="A62" s="7">
        <v>45783</v>
      </c>
      <c r="B62" s="4" t="s">
        <v>17</v>
      </c>
      <c r="C62" s="5" t="str">
        <f t="shared" si="0"/>
        <v>Tuesday</v>
      </c>
      <c r="D62" s="5" t="str">
        <f t="shared" si="1"/>
        <v>May</v>
      </c>
      <c r="E62" s="5" t="str">
        <f t="shared" si="2"/>
        <v>2025</v>
      </c>
      <c r="F62" s="5" t="str">
        <f t="shared" si="3"/>
        <v>Q2</v>
      </c>
      <c r="G62" s="5">
        <v>1506</v>
      </c>
      <c r="H62" s="5">
        <v>1515.6</v>
      </c>
      <c r="I62" s="5">
        <v>1499.1</v>
      </c>
      <c r="J62" s="5">
        <v>1508.6</v>
      </c>
      <c r="K62" s="5">
        <v>1511</v>
      </c>
      <c r="L62" s="5">
        <v>1511.5</v>
      </c>
      <c r="M62" s="5">
        <v>1509.58</v>
      </c>
      <c r="N62" s="5">
        <v>2006.45</v>
      </c>
      <c r="O62" s="5">
        <v>1307</v>
      </c>
      <c r="P62" s="5">
        <v>4270530</v>
      </c>
      <c r="Q62" s="5">
        <v>105354</v>
      </c>
    </row>
    <row r="63" spans="1:17" x14ac:dyDescent="0.25">
      <c r="A63" s="7">
        <v>45784</v>
      </c>
      <c r="B63" s="4" t="s">
        <v>17</v>
      </c>
      <c r="C63" s="5" t="str">
        <f t="shared" si="0"/>
        <v>Wednesday</v>
      </c>
      <c r="D63" s="5" t="str">
        <f t="shared" si="1"/>
        <v>May</v>
      </c>
      <c r="E63" s="5" t="str">
        <f t="shared" si="2"/>
        <v>2025</v>
      </c>
      <c r="F63" s="5" t="str">
        <f t="shared" si="3"/>
        <v>Q2</v>
      </c>
      <c r="G63" s="5">
        <v>1500</v>
      </c>
      <c r="H63" s="5">
        <v>1518.8</v>
      </c>
      <c r="I63" s="5">
        <v>1496.6</v>
      </c>
      <c r="J63" s="5">
        <v>1511.5</v>
      </c>
      <c r="K63" s="5">
        <v>1508.8</v>
      </c>
      <c r="L63" s="5">
        <v>1508.3</v>
      </c>
      <c r="M63" s="5">
        <v>1509.03</v>
      </c>
      <c r="N63" s="5">
        <v>2006.45</v>
      </c>
      <c r="O63" s="5">
        <v>1307</v>
      </c>
      <c r="P63" s="5">
        <v>5691799</v>
      </c>
      <c r="Q63" s="5">
        <v>144103</v>
      </c>
    </row>
    <row r="64" spans="1:17" x14ac:dyDescent="0.25">
      <c r="A64" s="7">
        <v>45785</v>
      </c>
      <c r="B64" s="4" t="s">
        <v>17</v>
      </c>
      <c r="C64" s="5" t="str">
        <f t="shared" si="0"/>
        <v>Thursday</v>
      </c>
      <c r="D64" s="5" t="str">
        <f t="shared" si="1"/>
        <v>May</v>
      </c>
      <c r="E64" s="5" t="str">
        <f t="shared" si="2"/>
        <v>2025</v>
      </c>
      <c r="F64" s="5" t="str">
        <f t="shared" si="3"/>
        <v>Q2</v>
      </c>
      <c r="G64" s="5">
        <v>1508</v>
      </c>
      <c r="H64" s="5">
        <v>1516.5</v>
      </c>
      <c r="I64" s="5">
        <v>1501.2</v>
      </c>
      <c r="J64" s="5">
        <v>1508.3</v>
      </c>
      <c r="K64" s="5">
        <v>1506</v>
      </c>
      <c r="L64" s="5">
        <v>1511.4</v>
      </c>
      <c r="M64" s="5">
        <v>1508.8</v>
      </c>
      <c r="N64" s="5">
        <v>2006.45</v>
      </c>
      <c r="O64" s="5">
        <v>1307</v>
      </c>
      <c r="P64" s="5">
        <v>8424409</v>
      </c>
      <c r="Q64" s="5">
        <v>217543</v>
      </c>
    </row>
    <row r="65" spans="1:17" x14ac:dyDescent="0.25">
      <c r="A65" s="7">
        <v>45786</v>
      </c>
      <c r="B65" s="4" t="s">
        <v>17</v>
      </c>
      <c r="C65" s="5" t="str">
        <f t="shared" si="0"/>
        <v>Friday</v>
      </c>
      <c r="D65" s="5" t="str">
        <f t="shared" si="1"/>
        <v>May</v>
      </c>
      <c r="E65" s="5" t="str">
        <f t="shared" si="2"/>
        <v>2025</v>
      </c>
      <c r="F65" s="5" t="str">
        <f t="shared" si="3"/>
        <v>Q2</v>
      </c>
      <c r="G65" s="5">
        <v>1500.7</v>
      </c>
      <c r="H65" s="5">
        <v>1511.4</v>
      </c>
      <c r="I65" s="5">
        <v>1494.1</v>
      </c>
      <c r="J65" s="5">
        <v>1511.4</v>
      </c>
      <c r="K65" s="5">
        <v>1507.2</v>
      </c>
      <c r="L65" s="5">
        <v>1507.6</v>
      </c>
      <c r="M65" s="5">
        <v>1504.2</v>
      </c>
      <c r="N65" s="5">
        <v>2006.45</v>
      </c>
      <c r="O65" s="5">
        <v>1307</v>
      </c>
      <c r="P65" s="5">
        <v>4478653</v>
      </c>
      <c r="Q65" s="5">
        <v>144158</v>
      </c>
    </row>
    <row r="66" spans="1:17" x14ac:dyDescent="0.25">
      <c r="A66" s="8">
        <v>45789</v>
      </c>
      <c r="B66" s="4" t="s">
        <v>17</v>
      </c>
      <c r="C66" s="5" t="str">
        <f t="shared" si="0"/>
        <v>Monday</v>
      </c>
      <c r="D66" s="5" t="str">
        <f t="shared" si="1"/>
        <v>May</v>
      </c>
      <c r="E66" s="5" t="str">
        <f t="shared" si="2"/>
        <v>2025</v>
      </c>
      <c r="F66" s="5" t="str">
        <f t="shared" si="3"/>
        <v>Q2</v>
      </c>
      <c r="G66" s="5">
        <v>1537</v>
      </c>
      <c r="H66" s="5">
        <v>1632</v>
      </c>
      <c r="I66" s="5">
        <v>1532</v>
      </c>
      <c r="J66" s="5">
        <v>1507.6</v>
      </c>
      <c r="K66" s="5">
        <v>1623.5</v>
      </c>
      <c r="L66" s="5">
        <v>1626.9</v>
      </c>
      <c r="M66" s="5">
        <v>1593.89</v>
      </c>
      <c r="N66" s="5">
        <v>2006.45</v>
      </c>
      <c r="O66" s="5">
        <v>1307</v>
      </c>
      <c r="P66" s="5">
        <v>11372857</v>
      </c>
      <c r="Q66" s="5">
        <v>290108</v>
      </c>
    </row>
    <row r="67" spans="1:17" x14ac:dyDescent="0.25">
      <c r="A67" s="8">
        <v>45790</v>
      </c>
      <c r="B67" s="4" t="s">
        <v>17</v>
      </c>
      <c r="C67" s="5" t="str">
        <f t="shared" si="0"/>
        <v>Tuesday</v>
      </c>
      <c r="D67" s="5" t="str">
        <f t="shared" si="1"/>
        <v>May</v>
      </c>
      <c r="E67" s="5" t="str">
        <f t="shared" si="2"/>
        <v>2025</v>
      </c>
      <c r="F67" s="5" t="str">
        <f t="shared" si="3"/>
        <v>Q2</v>
      </c>
      <c r="G67" s="5">
        <v>1609</v>
      </c>
      <c r="H67" s="5">
        <v>1612.2</v>
      </c>
      <c r="I67" s="5">
        <v>1564.6</v>
      </c>
      <c r="J67" s="5">
        <v>1626.9</v>
      </c>
      <c r="K67" s="5">
        <v>1567.9</v>
      </c>
      <c r="L67" s="5">
        <v>1568.6</v>
      </c>
      <c r="M67" s="5">
        <v>1579.63</v>
      </c>
      <c r="N67" s="5">
        <v>2006.45</v>
      </c>
      <c r="O67" s="5">
        <v>1307</v>
      </c>
      <c r="P67" s="5">
        <v>12846210</v>
      </c>
      <c r="Q67" s="5">
        <v>335293</v>
      </c>
    </row>
    <row r="68" spans="1:17" x14ac:dyDescent="0.25">
      <c r="A68" s="8">
        <v>45791</v>
      </c>
      <c r="B68" s="4" t="s">
        <v>17</v>
      </c>
      <c r="C68" s="5" t="str">
        <f t="shared" si="0"/>
        <v>Wednesday</v>
      </c>
      <c r="D68" s="5" t="str">
        <f t="shared" si="1"/>
        <v>May</v>
      </c>
      <c r="E68" s="5" t="str">
        <f t="shared" si="2"/>
        <v>2025</v>
      </c>
      <c r="F68" s="5" t="str">
        <f t="shared" si="3"/>
        <v>Q2</v>
      </c>
      <c r="G68" s="5">
        <v>1574</v>
      </c>
      <c r="H68" s="5">
        <v>1595</v>
      </c>
      <c r="I68" s="5">
        <v>1569.5</v>
      </c>
      <c r="J68" s="5">
        <v>1568.6</v>
      </c>
      <c r="K68" s="5">
        <v>1592.8</v>
      </c>
      <c r="L68" s="5">
        <v>1592.4</v>
      </c>
      <c r="M68" s="5">
        <v>1588.83</v>
      </c>
      <c r="N68" s="5">
        <v>2006.45</v>
      </c>
      <c r="O68" s="5">
        <v>1307</v>
      </c>
      <c r="P68" s="5">
        <v>4870057</v>
      </c>
      <c r="Q68" s="5">
        <v>144908</v>
      </c>
    </row>
    <row r="69" spans="1:17" x14ac:dyDescent="0.25">
      <c r="A69" s="8">
        <v>45792</v>
      </c>
      <c r="B69" s="4" t="s">
        <v>17</v>
      </c>
      <c r="C69" s="5" t="str">
        <f t="shared" si="0"/>
        <v>Thursday</v>
      </c>
      <c r="D69" s="5" t="str">
        <f t="shared" si="1"/>
        <v>May</v>
      </c>
      <c r="E69" s="5" t="str">
        <f t="shared" si="2"/>
        <v>2025</v>
      </c>
      <c r="F69" s="5" t="str">
        <f t="shared" si="3"/>
        <v>Q2</v>
      </c>
      <c r="G69" s="5">
        <v>1589.8</v>
      </c>
      <c r="H69" s="5">
        <v>1618.6</v>
      </c>
      <c r="I69" s="5">
        <v>1571</v>
      </c>
      <c r="J69" s="5">
        <v>1592.4</v>
      </c>
      <c r="K69" s="5">
        <v>1609.5</v>
      </c>
      <c r="L69" s="5">
        <v>1613</v>
      </c>
      <c r="M69" s="5">
        <v>1600.37</v>
      </c>
      <c r="N69" s="5">
        <v>2006.45</v>
      </c>
      <c r="O69" s="5">
        <v>1307</v>
      </c>
      <c r="P69" s="5">
        <v>11151167</v>
      </c>
      <c r="Q69" s="5">
        <v>226053</v>
      </c>
    </row>
    <row r="70" spans="1:17" x14ac:dyDescent="0.25">
      <c r="A70" s="8">
        <v>45793</v>
      </c>
      <c r="B70" s="4" t="s">
        <v>17</v>
      </c>
      <c r="C70" s="5" t="str">
        <f t="shared" si="0"/>
        <v>Friday</v>
      </c>
      <c r="D70" s="5" t="str">
        <f t="shared" si="1"/>
        <v>May</v>
      </c>
      <c r="E70" s="5" t="str">
        <f t="shared" si="2"/>
        <v>2025</v>
      </c>
      <c r="F70" s="5" t="str">
        <f t="shared" si="3"/>
        <v>Q2</v>
      </c>
      <c r="G70" s="5">
        <v>1612.6</v>
      </c>
      <c r="H70" s="5">
        <v>1612.6</v>
      </c>
      <c r="I70" s="5">
        <v>1581.5</v>
      </c>
      <c r="J70" s="5">
        <v>1613</v>
      </c>
      <c r="K70" s="5">
        <v>1589.4</v>
      </c>
      <c r="L70" s="5">
        <v>1589.9</v>
      </c>
      <c r="M70" s="5">
        <v>1591.32</v>
      </c>
      <c r="N70" s="5">
        <v>2006.45</v>
      </c>
      <c r="O70" s="5">
        <v>1307</v>
      </c>
      <c r="P70" s="5">
        <v>4576751</v>
      </c>
      <c r="Q70" s="5">
        <v>132211</v>
      </c>
    </row>
    <row r="71" spans="1:17" x14ac:dyDescent="0.25">
      <c r="A71" s="8">
        <v>45796</v>
      </c>
      <c r="B71" s="4" t="s">
        <v>17</v>
      </c>
      <c r="C71" s="5" t="str">
        <f t="shared" si="0"/>
        <v>Monday</v>
      </c>
      <c r="D71" s="5" t="str">
        <f t="shared" si="1"/>
        <v>May</v>
      </c>
      <c r="E71" s="5" t="str">
        <f t="shared" si="2"/>
        <v>2025</v>
      </c>
      <c r="F71" s="5" t="str">
        <f t="shared" si="3"/>
        <v>Q2</v>
      </c>
      <c r="G71" s="5">
        <v>1576.5</v>
      </c>
      <c r="H71" s="5">
        <v>1585</v>
      </c>
      <c r="I71" s="5">
        <v>1555.7</v>
      </c>
      <c r="J71" s="5">
        <v>1589.9</v>
      </c>
      <c r="K71" s="5">
        <v>1557.9</v>
      </c>
      <c r="L71" s="5">
        <v>1559.8</v>
      </c>
      <c r="M71" s="5">
        <v>1565.44</v>
      </c>
      <c r="N71" s="5">
        <v>2006.45</v>
      </c>
      <c r="O71" s="5">
        <v>1307</v>
      </c>
      <c r="P71" s="5">
        <v>8855798</v>
      </c>
      <c r="Q71" s="5">
        <v>186064</v>
      </c>
    </row>
    <row r="72" spans="1:17" x14ac:dyDescent="0.25">
      <c r="A72" s="8">
        <v>45797</v>
      </c>
      <c r="B72" s="4" t="s">
        <v>17</v>
      </c>
      <c r="C72" s="5" t="str">
        <f t="shared" si="0"/>
        <v>Tuesday</v>
      </c>
      <c r="D72" s="5" t="str">
        <f t="shared" si="1"/>
        <v>May</v>
      </c>
      <c r="E72" s="5" t="str">
        <f t="shared" si="2"/>
        <v>2025</v>
      </c>
      <c r="F72" s="5" t="str">
        <f t="shared" si="3"/>
        <v>Q2</v>
      </c>
      <c r="G72" s="5">
        <v>1570</v>
      </c>
      <c r="H72" s="5">
        <v>1583.5</v>
      </c>
      <c r="I72" s="5">
        <v>1558</v>
      </c>
      <c r="J72" s="5">
        <v>1559.8</v>
      </c>
      <c r="K72" s="5">
        <v>1563.5</v>
      </c>
      <c r="L72" s="5">
        <v>1560.6</v>
      </c>
      <c r="M72" s="5">
        <v>1566.97</v>
      </c>
      <c r="N72" s="5">
        <v>2006.45</v>
      </c>
      <c r="O72" s="5">
        <v>1307</v>
      </c>
      <c r="P72" s="5">
        <v>7143998</v>
      </c>
      <c r="Q72" s="5">
        <v>160169</v>
      </c>
    </row>
    <row r="73" spans="1:17" x14ac:dyDescent="0.25">
      <c r="A73" s="8">
        <v>45798</v>
      </c>
      <c r="B73" s="4" t="s">
        <v>17</v>
      </c>
      <c r="C73" s="5" t="str">
        <f t="shared" si="0"/>
        <v>Wednesday</v>
      </c>
      <c r="D73" s="5" t="str">
        <f t="shared" si="1"/>
        <v>May</v>
      </c>
      <c r="E73" s="5" t="str">
        <f t="shared" si="2"/>
        <v>2025</v>
      </c>
      <c r="F73" s="5" t="str">
        <f t="shared" si="3"/>
        <v>Q2</v>
      </c>
      <c r="G73" s="5">
        <v>1567.9</v>
      </c>
      <c r="H73" s="5">
        <v>1571</v>
      </c>
      <c r="I73" s="5">
        <v>1552.1</v>
      </c>
      <c r="J73" s="5">
        <v>1560.6</v>
      </c>
      <c r="K73" s="5">
        <v>1566.9</v>
      </c>
      <c r="L73" s="5">
        <v>1568.5</v>
      </c>
      <c r="M73" s="5">
        <v>1566.02</v>
      </c>
      <c r="N73" s="5">
        <v>2006.45</v>
      </c>
      <c r="O73" s="5">
        <v>1307</v>
      </c>
      <c r="P73" s="5">
        <v>4157309</v>
      </c>
      <c r="Q73" s="5">
        <v>112304</v>
      </c>
    </row>
    <row r="74" spans="1:17" x14ac:dyDescent="0.25">
      <c r="A74" s="8">
        <v>45799</v>
      </c>
      <c r="B74" s="4" t="s">
        <v>17</v>
      </c>
      <c r="C74" s="5" t="str">
        <f t="shared" si="0"/>
        <v>Thursday</v>
      </c>
      <c r="D74" s="5" t="str">
        <f t="shared" si="1"/>
        <v>May</v>
      </c>
      <c r="E74" s="5" t="str">
        <f t="shared" si="2"/>
        <v>2025</v>
      </c>
      <c r="F74" s="5" t="str">
        <f t="shared" si="3"/>
        <v>Q2</v>
      </c>
      <c r="G74" s="5">
        <v>1555.5</v>
      </c>
      <c r="H74" s="5">
        <v>1560.8</v>
      </c>
      <c r="I74" s="5">
        <v>1540</v>
      </c>
      <c r="J74" s="5">
        <v>1568.5</v>
      </c>
      <c r="K74" s="5">
        <v>1551</v>
      </c>
      <c r="L74" s="5">
        <v>1547.5</v>
      </c>
      <c r="M74" s="5">
        <v>1548.79</v>
      </c>
      <c r="N74" s="5">
        <v>2006.45</v>
      </c>
      <c r="O74" s="5">
        <v>1307</v>
      </c>
      <c r="P74" s="5">
        <v>6158990</v>
      </c>
      <c r="Q74" s="5">
        <v>162974</v>
      </c>
    </row>
    <row r="75" spans="1:17" x14ac:dyDescent="0.25">
      <c r="A75" s="8">
        <v>45800</v>
      </c>
      <c r="B75" s="4" t="s">
        <v>17</v>
      </c>
      <c r="C75" s="5" t="str">
        <f t="shared" si="0"/>
        <v>Friday</v>
      </c>
      <c r="D75" s="5" t="str">
        <f t="shared" si="1"/>
        <v>May</v>
      </c>
      <c r="E75" s="5" t="str">
        <f t="shared" si="2"/>
        <v>2025</v>
      </c>
      <c r="F75" s="5" t="str">
        <f t="shared" si="3"/>
        <v>Q2</v>
      </c>
      <c r="G75" s="5">
        <v>1550</v>
      </c>
      <c r="H75" s="5">
        <v>1587.2</v>
      </c>
      <c r="I75" s="5">
        <v>1550</v>
      </c>
      <c r="J75" s="5">
        <v>1547.5</v>
      </c>
      <c r="K75" s="5">
        <v>1566.1</v>
      </c>
      <c r="L75" s="5">
        <v>1564.8</v>
      </c>
      <c r="M75" s="5">
        <v>1573.82</v>
      </c>
      <c r="N75" s="5">
        <v>2006.45</v>
      </c>
      <c r="O75" s="5">
        <v>1307</v>
      </c>
      <c r="P75" s="5">
        <v>5038421</v>
      </c>
      <c r="Q75" s="5">
        <v>119392</v>
      </c>
    </row>
    <row r="76" spans="1:17" x14ac:dyDescent="0.25">
      <c r="A76" s="8">
        <v>45803</v>
      </c>
      <c r="B76" s="4" t="s">
        <v>17</v>
      </c>
      <c r="C76" s="5" t="str">
        <f t="shared" si="0"/>
        <v>Monday</v>
      </c>
      <c r="D76" s="5" t="str">
        <f t="shared" si="1"/>
        <v>May</v>
      </c>
      <c r="E76" s="5" t="str">
        <f t="shared" si="2"/>
        <v>2025</v>
      </c>
      <c r="F76" s="5" t="str">
        <f t="shared" si="3"/>
        <v>Q2</v>
      </c>
      <c r="G76" s="5">
        <v>1566.6</v>
      </c>
      <c r="H76" s="5">
        <v>1583.8</v>
      </c>
      <c r="I76" s="5">
        <v>1562.7</v>
      </c>
      <c r="J76" s="5">
        <v>1564.8</v>
      </c>
      <c r="K76" s="5">
        <v>1582</v>
      </c>
      <c r="L76" s="5">
        <v>1580.5</v>
      </c>
      <c r="M76" s="5">
        <v>1577.54</v>
      </c>
      <c r="N76" s="5">
        <v>2006.45</v>
      </c>
      <c r="O76" s="5">
        <v>1307</v>
      </c>
      <c r="P76" s="5">
        <v>3170102</v>
      </c>
      <c r="Q76" s="5">
        <v>84853</v>
      </c>
    </row>
    <row r="77" spans="1:17" x14ac:dyDescent="0.25">
      <c r="A77" s="8">
        <v>45804</v>
      </c>
      <c r="B77" s="4" t="s">
        <v>17</v>
      </c>
      <c r="C77" s="5" t="str">
        <f t="shared" si="0"/>
        <v>Tuesday</v>
      </c>
      <c r="D77" s="5" t="str">
        <f t="shared" si="1"/>
        <v>May</v>
      </c>
      <c r="E77" s="5" t="str">
        <f t="shared" si="2"/>
        <v>2025</v>
      </c>
      <c r="F77" s="5" t="str">
        <f t="shared" si="3"/>
        <v>Q2</v>
      </c>
      <c r="G77" s="5">
        <v>1579.9</v>
      </c>
      <c r="H77" s="5">
        <v>1582.9</v>
      </c>
      <c r="I77" s="5">
        <v>1556.4</v>
      </c>
      <c r="J77" s="5">
        <v>1580.5</v>
      </c>
      <c r="K77" s="5">
        <v>1570.9</v>
      </c>
      <c r="L77" s="5">
        <v>1570.1</v>
      </c>
      <c r="M77" s="5">
        <v>1567.8</v>
      </c>
      <c r="N77" s="5">
        <v>2006.45</v>
      </c>
      <c r="O77" s="5">
        <v>1307</v>
      </c>
      <c r="P77" s="5">
        <v>7775714</v>
      </c>
      <c r="Q77" s="5">
        <v>206543</v>
      </c>
    </row>
    <row r="78" spans="1:17" x14ac:dyDescent="0.25">
      <c r="A78" s="8">
        <v>45805</v>
      </c>
      <c r="B78" s="4" t="s">
        <v>17</v>
      </c>
      <c r="C78" s="5" t="str">
        <f t="shared" si="0"/>
        <v>Wednesday</v>
      </c>
      <c r="D78" s="5" t="str">
        <f t="shared" si="1"/>
        <v>May</v>
      </c>
      <c r="E78" s="5" t="str">
        <f t="shared" si="2"/>
        <v>2025</v>
      </c>
      <c r="F78" s="5" t="str">
        <f t="shared" si="3"/>
        <v>Q2</v>
      </c>
      <c r="G78" s="5">
        <v>1581</v>
      </c>
      <c r="H78" s="5">
        <v>1587.7</v>
      </c>
      <c r="I78" s="5">
        <v>1570</v>
      </c>
      <c r="J78" s="5">
        <v>1570.1</v>
      </c>
      <c r="K78" s="5">
        <v>1571.8</v>
      </c>
      <c r="L78" s="5">
        <v>1571.8</v>
      </c>
      <c r="M78" s="5">
        <v>1576.59</v>
      </c>
      <c r="N78" s="5">
        <v>2006.45</v>
      </c>
      <c r="O78" s="5">
        <v>1307</v>
      </c>
      <c r="P78" s="5">
        <v>3623370</v>
      </c>
      <c r="Q78" s="5">
        <v>136660</v>
      </c>
    </row>
    <row r="79" spans="1:17" x14ac:dyDescent="0.25">
      <c r="A79" s="8">
        <v>45806</v>
      </c>
      <c r="B79" s="4" t="s">
        <v>17</v>
      </c>
      <c r="C79" s="5" t="str">
        <f t="shared" si="0"/>
        <v>Thursday</v>
      </c>
      <c r="D79" s="5" t="str">
        <f t="shared" si="1"/>
        <v>May</v>
      </c>
      <c r="E79" s="5" t="str">
        <f t="shared" si="2"/>
        <v>2025</v>
      </c>
      <c r="F79" s="5" t="str">
        <f t="shared" si="3"/>
        <v>Q2</v>
      </c>
      <c r="G79" s="5">
        <v>1589</v>
      </c>
      <c r="H79" s="5">
        <v>1608.9</v>
      </c>
      <c r="I79" s="5">
        <v>1576.6</v>
      </c>
      <c r="J79" s="5">
        <v>1571.8</v>
      </c>
      <c r="K79" s="5">
        <v>1586.5</v>
      </c>
      <c r="L79" s="5">
        <v>1585.6</v>
      </c>
      <c r="M79" s="5">
        <v>1588.46</v>
      </c>
      <c r="N79" s="5">
        <v>2006.45</v>
      </c>
      <c r="O79" s="5">
        <v>1307</v>
      </c>
      <c r="P79" s="5">
        <v>8609500</v>
      </c>
      <c r="Q79" s="5">
        <v>194291</v>
      </c>
    </row>
    <row r="80" spans="1:17" x14ac:dyDescent="0.25">
      <c r="A80" s="8">
        <v>45807</v>
      </c>
      <c r="B80" s="4" t="s">
        <v>17</v>
      </c>
      <c r="C80" s="5" t="str">
        <f t="shared" si="0"/>
        <v>Friday</v>
      </c>
      <c r="D80" s="5" t="str">
        <f t="shared" si="1"/>
        <v>May</v>
      </c>
      <c r="E80" s="5" t="str">
        <f t="shared" si="2"/>
        <v>2025</v>
      </c>
      <c r="F80" s="5" t="str">
        <f t="shared" si="3"/>
        <v>Q2</v>
      </c>
      <c r="G80" s="5">
        <v>1571</v>
      </c>
      <c r="H80" s="5">
        <v>1572</v>
      </c>
      <c r="I80" s="5">
        <v>1555.1</v>
      </c>
      <c r="J80" s="5">
        <v>1585.6</v>
      </c>
      <c r="K80" s="5">
        <v>1561.9</v>
      </c>
      <c r="L80" s="5">
        <v>1562.7</v>
      </c>
      <c r="M80" s="5">
        <v>1563.06</v>
      </c>
      <c r="N80" s="5">
        <v>2006.45</v>
      </c>
      <c r="O80" s="5">
        <v>1307</v>
      </c>
      <c r="P80" s="5">
        <v>13148092</v>
      </c>
      <c r="Q80" s="5">
        <v>167400</v>
      </c>
    </row>
    <row r="81" spans="1:17" x14ac:dyDescent="0.25">
      <c r="A81" s="3">
        <v>45810</v>
      </c>
      <c r="B81" s="4" t="s">
        <v>17</v>
      </c>
      <c r="C81" s="5" t="str">
        <f t="shared" si="0"/>
        <v>Monday</v>
      </c>
      <c r="D81" s="5" t="str">
        <f t="shared" si="1"/>
        <v>June</v>
      </c>
      <c r="E81" s="5" t="str">
        <f t="shared" si="2"/>
        <v>2025</v>
      </c>
      <c r="F81" s="5" t="str">
        <f t="shared" si="3"/>
        <v>Q2</v>
      </c>
      <c r="G81" s="5">
        <v>1560</v>
      </c>
      <c r="H81" s="5">
        <v>1560</v>
      </c>
      <c r="I81" s="5">
        <v>1539</v>
      </c>
      <c r="J81" s="5">
        <v>1562.7</v>
      </c>
      <c r="K81" s="5">
        <v>1551</v>
      </c>
      <c r="L81" s="5">
        <v>1553.8</v>
      </c>
      <c r="M81" s="5">
        <v>1550.25</v>
      </c>
      <c r="N81" s="5">
        <v>2006.45</v>
      </c>
      <c r="O81" s="5">
        <v>1307</v>
      </c>
      <c r="P81" s="5">
        <v>4374509</v>
      </c>
      <c r="Q81" s="5">
        <v>131906</v>
      </c>
    </row>
    <row r="82" spans="1:17" x14ac:dyDescent="0.25">
      <c r="A82" s="3">
        <v>45811</v>
      </c>
      <c r="B82" s="4" t="s">
        <v>17</v>
      </c>
      <c r="C82" s="5" t="str">
        <f t="shared" si="0"/>
        <v>Tuesday</v>
      </c>
      <c r="D82" s="5" t="str">
        <f t="shared" si="1"/>
        <v>June</v>
      </c>
      <c r="E82" s="5" t="str">
        <f t="shared" si="2"/>
        <v>2025</v>
      </c>
      <c r="F82" s="5" t="str">
        <f t="shared" si="3"/>
        <v>Q2</v>
      </c>
      <c r="G82" s="5">
        <v>1559</v>
      </c>
      <c r="H82" s="5">
        <v>1567.3</v>
      </c>
      <c r="I82" s="5">
        <v>1535.6</v>
      </c>
      <c r="J82" s="5">
        <v>1553.8</v>
      </c>
      <c r="K82" s="5">
        <v>1543</v>
      </c>
      <c r="L82" s="5">
        <v>1543</v>
      </c>
      <c r="M82" s="5">
        <v>1546.37</v>
      </c>
      <c r="N82" s="5">
        <v>2006.45</v>
      </c>
      <c r="O82" s="5">
        <v>1307</v>
      </c>
      <c r="P82" s="5">
        <v>6853403</v>
      </c>
      <c r="Q82" s="5">
        <v>195003</v>
      </c>
    </row>
    <row r="83" spans="1:17" x14ac:dyDescent="0.25">
      <c r="A83" s="3">
        <v>45812</v>
      </c>
      <c r="B83" s="4" t="s">
        <v>17</v>
      </c>
      <c r="C83" s="5" t="str">
        <f t="shared" si="0"/>
        <v>Wednesday</v>
      </c>
      <c r="D83" s="5" t="str">
        <f t="shared" si="1"/>
        <v>June</v>
      </c>
      <c r="E83" s="5" t="str">
        <f t="shared" si="2"/>
        <v>2025</v>
      </c>
      <c r="F83" s="5" t="str">
        <f t="shared" si="3"/>
        <v>Q2</v>
      </c>
      <c r="G83" s="5">
        <v>1543</v>
      </c>
      <c r="H83" s="5">
        <v>1557.3</v>
      </c>
      <c r="I83" s="5">
        <v>1541.4</v>
      </c>
      <c r="J83" s="5">
        <v>1543</v>
      </c>
      <c r="K83" s="5">
        <v>1550</v>
      </c>
      <c r="L83" s="5">
        <v>1551.2</v>
      </c>
      <c r="M83" s="5">
        <v>1550.49</v>
      </c>
      <c r="N83" s="5">
        <v>2006.45</v>
      </c>
      <c r="O83" s="5">
        <v>1307</v>
      </c>
      <c r="P83" s="5">
        <v>4548307</v>
      </c>
      <c r="Q83" s="5">
        <v>118648</v>
      </c>
    </row>
    <row r="84" spans="1:17" x14ac:dyDescent="0.25">
      <c r="A84" s="3">
        <v>45813</v>
      </c>
      <c r="B84" s="4" t="s">
        <v>17</v>
      </c>
      <c r="C84" s="5" t="str">
        <f t="shared" si="0"/>
        <v>Thursday</v>
      </c>
      <c r="D84" s="5" t="str">
        <f t="shared" si="1"/>
        <v>June</v>
      </c>
      <c r="E84" s="5" t="str">
        <f t="shared" si="2"/>
        <v>2025</v>
      </c>
      <c r="F84" s="5" t="str">
        <f t="shared" si="3"/>
        <v>Q2</v>
      </c>
      <c r="G84" s="5">
        <v>1547.9</v>
      </c>
      <c r="H84" s="5">
        <v>1567.7</v>
      </c>
      <c r="I84" s="5">
        <v>1541.6</v>
      </c>
      <c r="J84" s="5">
        <v>1551.2</v>
      </c>
      <c r="K84" s="5">
        <v>1554.5</v>
      </c>
      <c r="L84" s="5">
        <v>1554.3</v>
      </c>
      <c r="M84" s="5">
        <v>1554.78</v>
      </c>
      <c r="N84" s="5">
        <v>2006.45</v>
      </c>
      <c r="O84" s="5">
        <v>1307</v>
      </c>
      <c r="P84" s="5">
        <v>6948539</v>
      </c>
      <c r="Q84" s="5">
        <v>128309</v>
      </c>
    </row>
    <row r="85" spans="1:17" x14ac:dyDescent="0.25">
      <c r="A85" s="3">
        <v>45814</v>
      </c>
      <c r="B85" s="4" t="s">
        <v>17</v>
      </c>
      <c r="C85" s="5" t="str">
        <f t="shared" si="0"/>
        <v>Friday</v>
      </c>
      <c r="D85" s="5" t="str">
        <f t="shared" si="1"/>
        <v>June</v>
      </c>
      <c r="E85" s="5" t="str">
        <f t="shared" si="2"/>
        <v>2025</v>
      </c>
      <c r="F85" s="5" t="str">
        <f t="shared" si="3"/>
        <v>Q2</v>
      </c>
      <c r="G85" s="5">
        <v>1554.7</v>
      </c>
      <c r="H85" s="5">
        <v>1568.9</v>
      </c>
      <c r="I85" s="5">
        <v>1543.1</v>
      </c>
      <c r="J85" s="5">
        <v>1554.3</v>
      </c>
      <c r="K85" s="5">
        <v>1568</v>
      </c>
      <c r="L85" s="5">
        <v>1563.8</v>
      </c>
      <c r="M85" s="5">
        <v>1557.14</v>
      </c>
      <c r="N85" s="5">
        <v>2006.45</v>
      </c>
      <c r="O85" s="5">
        <v>1307</v>
      </c>
      <c r="P85" s="5">
        <v>3960020</v>
      </c>
      <c r="Q85" s="5">
        <v>90826</v>
      </c>
    </row>
    <row r="86" spans="1:17" x14ac:dyDescent="0.25">
      <c r="A86" s="3">
        <v>45817</v>
      </c>
      <c r="B86" s="4" t="s">
        <v>17</v>
      </c>
      <c r="C86" s="5" t="str">
        <f t="shared" si="0"/>
        <v>Monday</v>
      </c>
      <c r="D86" s="5" t="str">
        <f t="shared" si="1"/>
        <v>June</v>
      </c>
      <c r="E86" s="5" t="str">
        <f t="shared" si="2"/>
        <v>2025</v>
      </c>
      <c r="F86" s="5" t="str">
        <f t="shared" si="3"/>
        <v>Q2</v>
      </c>
      <c r="G86" s="5">
        <v>1578</v>
      </c>
      <c r="H86" s="5">
        <v>1588</v>
      </c>
      <c r="I86" s="5">
        <v>1571</v>
      </c>
      <c r="J86" s="5">
        <v>1563.8</v>
      </c>
      <c r="K86" s="5">
        <v>1572</v>
      </c>
      <c r="L86" s="5">
        <v>1572.9</v>
      </c>
      <c r="M86" s="5">
        <v>1577.22</v>
      </c>
      <c r="N86" s="5">
        <v>2006.45</v>
      </c>
      <c r="O86" s="5">
        <v>1307</v>
      </c>
      <c r="P86" s="5">
        <v>2903202</v>
      </c>
      <c r="Q86" s="5">
        <v>113233</v>
      </c>
    </row>
    <row r="87" spans="1:17" x14ac:dyDescent="0.25">
      <c r="A87" s="6">
        <v>45818</v>
      </c>
      <c r="B87" s="4" t="s">
        <v>17</v>
      </c>
      <c r="C87" s="5" t="str">
        <f t="shared" si="0"/>
        <v>Tuesday</v>
      </c>
      <c r="D87" s="5" t="str">
        <f t="shared" si="1"/>
        <v>June</v>
      </c>
      <c r="E87" s="5" t="str">
        <f t="shared" si="2"/>
        <v>2025</v>
      </c>
      <c r="F87" s="5" t="str">
        <f t="shared" si="3"/>
        <v>Q2</v>
      </c>
      <c r="G87" s="5">
        <v>1584</v>
      </c>
      <c r="H87" s="5">
        <v>1607.5</v>
      </c>
      <c r="I87" s="5">
        <v>1577.5</v>
      </c>
      <c r="J87" s="5">
        <v>1572.9</v>
      </c>
      <c r="K87" s="5">
        <v>1594</v>
      </c>
      <c r="L87" s="5">
        <v>1596</v>
      </c>
      <c r="M87" s="5">
        <v>1595.07</v>
      </c>
      <c r="N87" s="5">
        <v>2006.45</v>
      </c>
      <c r="O87" s="5">
        <v>1307</v>
      </c>
      <c r="P87" s="5">
        <v>8591925</v>
      </c>
      <c r="Q87" s="5">
        <v>222769</v>
      </c>
    </row>
    <row r="88" spans="1:17" x14ac:dyDescent="0.25">
      <c r="A88" s="6">
        <v>45819</v>
      </c>
      <c r="B88" s="4" t="s">
        <v>17</v>
      </c>
      <c r="C88" s="5" t="str">
        <f t="shared" si="0"/>
        <v>Wednesday</v>
      </c>
      <c r="D88" s="5" t="str">
        <f t="shared" si="1"/>
        <v>June</v>
      </c>
      <c r="E88" s="5" t="str">
        <f t="shared" si="2"/>
        <v>2025</v>
      </c>
      <c r="F88" s="5" t="str">
        <f t="shared" si="3"/>
        <v>Q2</v>
      </c>
      <c r="G88" s="5">
        <v>1590.1</v>
      </c>
      <c r="H88" s="5">
        <v>1634.6</v>
      </c>
      <c r="I88" s="5">
        <v>1590.1</v>
      </c>
      <c r="J88" s="5">
        <v>1596</v>
      </c>
      <c r="K88" s="5">
        <v>1628</v>
      </c>
      <c r="L88" s="5">
        <v>1631.1</v>
      </c>
      <c r="M88" s="5">
        <v>1617.71</v>
      </c>
      <c r="N88" s="5">
        <v>2006.45</v>
      </c>
      <c r="O88" s="5">
        <v>1307</v>
      </c>
      <c r="P88" s="5">
        <v>10597410</v>
      </c>
      <c r="Q88" s="5">
        <v>219452</v>
      </c>
    </row>
    <row r="89" spans="1:17" x14ac:dyDescent="0.25">
      <c r="A89" s="6">
        <v>45820</v>
      </c>
      <c r="B89" s="4" t="s">
        <v>17</v>
      </c>
      <c r="C89" s="5" t="str">
        <f t="shared" si="0"/>
        <v>Thursday</v>
      </c>
      <c r="D89" s="5" t="str">
        <f t="shared" si="1"/>
        <v>June</v>
      </c>
      <c r="E89" s="5" t="str">
        <f t="shared" si="2"/>
        <v>2025</v>
      </c>
      <c r="F89" s="5" t="str">
        <f t="shared" si="3"/>
        <v>Q2</v>
      </c>
      <c r="G89" s="5">
        <v>1617</v>
      </c>
      <c r="H89" s="5">
        <v>1628</v>
      </c>
      <c r="I89" s="5">
        <v>1598.1</v>
      </c>
      <c r="J89" s="5">
        <v>1631.1</v>
      </c>
      <c r="K89" s="5">
        <v>1605</v>
      </c>
      <c r="L89" s="5">
        <v>1608.6</v>
      </c>
      <c r="M89" s="5">
        <v>1612.28</v>
      </c>
      <c r="N89" s="5">
        <v>2006.45</v>
      </c>
      <c r="O89" s="5">
        <v>1307</v>
      </c>
      <c r="P89" s="5">
        <v>10483574</v>
      </c>
      <c r="Q89" s="5">
        <v>316383</v>
      </c>
    </row>
    <row r="90" spans="1:17" x14ac:dyDescent="0.25">
      <c r="A90" s="6">
        <v>45821</v>
      </c>
      <c r="B90" s="4" t="s">
        <v>17</v>
      </c>
      <c r="C90" s="5" t="str">
        <f t="shared" si="0"/>
        <v>Friday</v>
      </c>
      <c r="D90" s="5" t="str">
        <f t="shared" si="1"/>
        <v>June</v>
      </c>
      <c r="E90" s="5" t="str">
        <f t="shared" si="2"/>
        <v>2025</v>
      </c>
      <c r="F90" s="5" t="str">
        <f t="shared" si="3"/>
        <v>Q2</v>
      </c>
      <c r="G90" s="5">
        <v>1576</v>
      </c>
      <c r="H90" s="5">
        <v>1609</v>
      </c>
      <c r="I90" s="5">
        <v>1570.2</v>
      </c>
      <c r="J90" s="5">
        <v>1608.6</v>
      </c>
      <c r="K90" s="5">
        <v>1605</v>
      </c>
      <c r="L90" s="5">
        <v>1602</v>
      </c>
      <c r="M90" s="5">
        <v>1598.18</v>
      </c>
      <c r="N90" s="5">
        <v>2006.45</v>
      </c>
      <c r="O90" s="5">
        <v>1307</v>
      </c>
      <c r="P90" s="5">
        <v>6968315</v>
      </c>
      <c r="Q90" s="5">
        <v>216576</v>
      </c>
    </row>
    <row r="91" spans="1:17" x14ac:dyDescent="0.25">
      <c r="A91" s="6">
        <v>45824</v>
      </c>
      <c r="B91" s="4" t="s">
        <v>17</v>
      </c>
      <c r="C91" s="5" t="str">
        <f t="shared" si="0"/>
        <v>Monday</v>
      </c>
      <c r="D91" s="5" t="str">
        <f t="shared" si="1"/>
        <v>June</v>
      </c>
      <c r="E91" s="5" t="str">
        <f t="shared" si="2"/>
        <v>2025</v>
      </c>
      <c r="F91" s="5" t="str">
        <f t="shared" si="3"/>
        <v>Q2</v>
      </c>
      <c r="G91" s="5">
        <v>1600</v>
      </c>
      <c r="H91" s="5">
        <v>1634.8</v>
      </c>
      <c r="I91" s="5">
        <v>1597.1</v>
      </c>
      <c r="J91" s="5">
        <v>1602</v>
      </c>
      <c r="K91" s="5">
        <v>1622.1</v>
      </c>
      <c r="L91" s="5">
        <v>1623.8</v>
      </c>
      <c r="M91" s="5">
        <v>1621.63</v>
      </c>
      <c r="N91" s="5">
        <v>2006.45</v>
      </c>
      <c r="O91" s="5">
        <v>1307</v>
      </c>
      <c r="P91" s="5">
        <v>5591842</v>
      </c>
      <c r="Q91" s="5">
        <v>138140</v>
      </c>
    </row>
    <row r="92" spans="1:17" x14ac:dyDescent="0.25">
      <c r="A92" s="6">
        <v>45825</v>
      </c>
      <c r="B92" s="4" t="s">
        <v>17</v>
      </c>
      <c r="C92" s="5" t="str">
        <f t="shared" si="0"/>
        <v>Tuesday</v>
      </c>
      <c r="D92" s="5" t="str">
        <f t="shared" si="1"/>
        <v>June</v>
      </c>
      <c r="E92" s="5" t="str">
        <f t="shared" si="2"/>
        <v>2025</v>
      </c>
      <c r="F92" s="5" t="str">
        <f t="shared" si="3"/>
        <v>Q2</v>
      </c>
      <c r="G92" s="5">
        <v>1620.7</v>
      </c>
      <c r="H92" s="5">
        <v>1647.4</v>
      </c>
      <c r="I92" s="5">
        <v>1615.6</v>
      </c>
      <c r="J92" s="5">
        <v>1623.8</v>
      </c>
      <c r="K92" s="5">
        <v>1638</v>
      </c>
      <c r="L92" s="5">
        <v>1639.9</v>
      </c>
      <c r="M92" s="5">
        <v>1637.98</v>
      </c>
      <c r="N92" s="5">
        <v>2006.45</v>
      </c>
      <c r="O92" s="5">
        <v>1307</v>
      </c>
      <c r="P92" s="5">
        <v>7622083</v>
      </c>
      <c r="Q92" s="5">
        <v>212796</v>
      </c>
    </row>
    <row r="93" spans="1:17" x14ac:dyDescent="0.25">
      <c r="A93" s="6">
        <v>45826</v>
      </c>
      <c r="B93" s="4" t="s">
        <v>17</v>
      </c>
      <c r="C93" s="5" t="str">
        <f t="shared" si="0"/>
        <v>Wednesday</v>
      </c>
      <c r="D93" s="5" t="str">
        <f t="shared" si="1"/>
        <v>June</v>
      </c>
      <c r="E93" s="5" t="str">
        <f t="shared" si="2"/>
        <v>2025</v>
      </c>
      <c r="F93" s="5" t="str">
        <f t="shared" si="3"/>
        <v>Q2</v>
      </c>
      <c r="G93" s="5">
        <v>1621</v>
      </c>
      <c r="H93" s="5">
        <v>1644.7</v>
      </c>
      <c r="I93" s="5">
        <v>1621</v>
      </c>
      <c r="J93" s="5">
        <v>1639.9</v>
      </c>
      <c r="K93" s="5">
        <v>1632</v>
      </c>
      <c r="L93" s="5">
        <v>1632.9</v>
      </c>
      <c r="M93" s="5">
        <v>1631.66</v>
      </c>
      <c r="N93" s="5">
        <v>2006.45</v>
      </c>
      <c r="O93" s="5">
        <v>1307</v>
      </c>
      <c r="P93" s="5">
        <v>5629707</v>
      </c>
      <c r="Q93" s="5">
        <v>140846</v>
      </c>
    </row>
    <row r="94" spans="1:17" x14ac:dyDescent="0.25">
      <c r="A94" s="6">
        <v>45827</v>
      </c>
      <c r="B94" s="4" t="s">
        <v>17</v>
      </c>
      <c r="C94" s="5" t="str">
        <f t="shared" si="0"/>
        <v>Thursday</v>
      </c>
      <c r="D94" s="5" t="str">
        <f t="shared" si="1"/>
        <v>June</v>
      </c>
      <c r="E94" s="5" t="str">
        <f t="shared" si="2"/>
        <v>2025</v>
      </c>
      <c r="F94" s="5" t="str">
        <f t="shared" si="3"/>
        <v>Q2</v>
      </c>
      <c r="G94" s="5">
        <v>1623.9</v>
      </c>
      <c r="H94" s="5">
        <v>1630</v>
      </c>
      <c r="I94" s="5">
        <v>1611.5</v>
      </c>
      <c r="J94" s="5">
        <v>1632.9</v>
      </c>
      <c r="K94" s="5">
        <v>1616.9</v>
      </c>
      <c r="L94" s="5">
        <v>1618.4</v>
      </c>
      <c r="M94" s="5">
        <v>1618.85</v>
      </c>
      <c r="N94" s="5">
        <v>2006.45</v>
      </c>
      <c r="O94" s="5">
        <v>1307</v>
      </c>
      <c r="P94" s="5">
        <v>5147760</v>
      </c>
      <c r="Q94" s="5">
        <v>162048</v>
      </c>
    </row>
    <row r="95" spans="1:17" x14ac:dyDescent="0.25">
      <c r="A95" s="6">
        <v>45828</v>
      </c>
      <c r="B95" s="4" t="s">
        <v>17</v>
      </c>
      <c r="C95" s="5" t="str">
        <f t="shared" si="0"/>
        <v>Friday</v>
      </c>
      <c r="D95" s="5" t="str">
        <f t="shared" si="1"/>
        <v>June</v>
      </c>
      <c r="E95" s="5" t="str">
        <f t="shared" si="2"/>
        <v>2025</v>
      </c>
      <c r="F95" s="5" t="str">
        <f t="shared" si="3"/>
        <v>Q2</v>
      </c>
      <c r="G95" s="5">
        <v>1619</v>
      </c>
      <c r="H95" s="5">
        <v>1630.7</v>
      </c>
      <c r="I95" s="5">
        <v>1608.9</v>
      </c>
      <c r="J95" s="5">
        <v>1618.4</v>
      </c>
      <c r="K95" s="5">
        <v>1618</v>
      </c>
      <c r="L95" s="5">
        <v>1622.9</v>
      </c>
      <c r="M95" s="5">
        <v>1621.3</v>
      </c>
      <c r="N95" s="5">
        <v>2006.45</v>
      </c>
      <c r="O95" s="5">
        <v>1307</v>
      </c>
      <c r="P95" s="5">
        <v>9202821</v>
      </c>
      <c r="Q95" s="5">
        <v>135603</v>
      </c>
    </row>
    <row r="96" spans="1:17" x14ac:dyDescent="0.25">
      <c r="A96" s="6">
        <v>45831</v>
      </c>
      <c r="B96" s="4" t="s">
        <v>17</v>
      </c>
      <c r="C96" s="5" t="str">
        <f t="shared" si="0"/>
        <v>Monday</v>
      </c>
      <c r="D96" s="5" t="str">
        <f t="shared" si="1"/>
        <v>June</v>
      </c>
      <c r="E96" s="5" t="str">
        <f t="shared" si="2"/>
        <v>2025</v>
      </c>
      <c r="F96" s="5" t="str">
        <f t="shared" si="3"/>
        <v>Q2</v>
      </c>
      <c r="G96" s="5">
        <v>1601</v>
      </c>
      <c r="H96" s="5">
        <v>1601</v>
      </c>
      <c r="I96" s="5">
        <v>1575.4</v>
      </c>
      <c r="J96" s="5">
        <v>1622.9</v>
      </c>
      <c r="K96" s="5">
        <v>1584.7</v>
      </c>
      <c r="L96" s="5">
        <v>1584</v>
      </c>
      <c r="M96" s="5">
        <v>1585.78</v>
      </c>
      <c r="N96" s="5">
        <v>2006.45</v>
      </c>
      <c r="O96" s="5">
        <v>1307</v>
      </c>
      <c r="P96" s="5">
        <v>7943676</v>
      </c>
      <c r="Q96" s="5">
        <v>206475</v>
      </c>
    </row>
    <row r="97" spans="1:17" x14ac:dyDescent="0.25">
      <c r="A97" s="6">
        <v>45832</v>
      </c>
      <c r="B97" s="4" t="s">
        <v>17</v>
      </c>
      <c r="C97" s="5" t="str">
        <f t="shared" si="0"/>
        <v>Tuesday</v>
      </c>
      <c r="D97" s="5" t="str">
        <f t="shared" si="1"/>
        <v>June</v>
      </c>
      <c r="E97" s="5" t="str">
        <f t="shared" si="2"/>
        <v>2025</v>
      </c>
      <c r="F97" s="5" t="str">
        <f t="shared" si="3"/>
        <v>Q2</v>
      </c>
      <c r="G97" s="5">
        <v>1601</v>
      </c>
      <c r="H97" s="5">
        <v>1609</v>
      </c>
      <c r="I97" s="5">
        <v>1576.6</v>
      </c>
      <c r="J97" s="5">
        <v>1584</v>
      </c>
      <c r="K97" s="5">
        <v>1579.6</v>
      </c>
      <c r="L97" s="5">
        <v>1581.6</v>
      </c>
      <c r="M97" s="5">
        <v>1590.26</v>
      </c>
      <c r="N97" s="5">
        <v>2006.45</v>
      </c>
      <c r="O97" s="5">
        <v>1307</v>
      </c>
      <c r="P97" s="5">
        <v>8083992</v>
      </c>
      <c r="Q97" s="5">
        <v>157878</v>
      </c>
    </row>
    <row r="98" spans="1:17" x14ac:dyDescent="0.25">
      <c r="A98" s="6">
        <v>45833</v>
      </c>
      <c r="B98" s="4" t="s">
        <v>17</v>
      </c>
      <c r="C98" s="5" t="str">
        <f t="shared" si="0"/>
        <v>Wednesday</v>
      </c>
      <c r="D98" s="5" t="str">
        <f t="shared" si="1"/>
        <v>June</v>
      </c>
      <c r="E98" s="5" t="str">
        <f t="shared" si="2"/>
        <v>2025</v>
      </c>
      <c r="F98" s="5" t="str">
        <f t="shared" si="3"/>
        <v>Q2</v>
      </c>
      <c r="G98" s="5">
        <v>1590</v>
      </c>
      <c r="H98" s="5">
        <v>1619.9</v>
      </c>
      <c r="I98" s="5">
        <v>1585.1</v>
      </c>
      <c r="J98" s="5">
        <v>1581.6</v>
      </c>
      <c r="K98" s="5">
        <v>1612.5</v>
      </c>
      <c r="L98" s="5">
        <v>1614.9</v>
      </c>
      <c r="M98" s="5">
        <v>1608.74</v>
      </c>
      <c r="N98" s="5">
        <v>2006.45</v>
      </c>
      <c r="O98" s="5">
        <v>1307</v>
      </c>
      <c r="P98" s="5">
        <v>7813533</v>
      </c>
      <c r="Q98" s="5">
        <v>187869</v>
      </c>
    </row>
    <row r="99" spans="1:17" x14ac:dyDescent="0.25">
      <c r="A99" s="6">
        <v>45834</v>
      </c>
      <c r="B99" s="4" t="s">
        <v>17</v>
      </c>
      <c r="C99" s="5" t="str">
        <f t="shared" si="0"/>
        <v>Thursday</v>
      </c>
      <c r="D99" s="5" t="str">
        <f t="shared" si="1"/>
        <v>June</v>
      </c>
      <c r="E99" s="5" t="str">
        <f t="shared" si="2"/>
        <v>2025</v>
      </c>
      <c r="F99" s="5" t="str">
        <f t="shared" si="3"/>
        <v>Q2</v>
      </c>
      <c r="G99" s="5">
        <v>1608.8</v>
      </c>
      <c r="H99" s="5">
        <v>1624</v>
      </c>
      <c r="I99" s="5">
        <v>1606.6</v>
      </c>
      <c r="J99" s="5">
        <v>1614.9</v>
      </c>
      <c r="K99" s="5">
        <v>1614.2</v>
      </c>
      <c r="L99" s="5">
        <v>1616</v>
      </c>
      <c r="M99" s="5">
        <v>1615.17</v>
      </c>
      <c r="N99" s="5">
        <v>2006.45</v>
      </c>
      <c r="O99" s="5">
        <v>1307</v>
      </c>
      <c r="P99" s="5">
        <v>6519233</v>
      </c>
      <c r="Q99" s="5">
        <v>143707</v>
      </c>
    </row>
    <row r="100" spans="1:17" x14ac:dyDescent="0.25">
      <c r="A100" s="6">
        <v>45835</v>
      </c>
      <c r="B100" s="4" t="s">
        <v>17</v>
      </c>
      <c r="C100" s="5" t="str">
        <f t="shared" si="0"/>
        <v>Friday</v>
      </c>
      <c r="D100" s="5" t="str">
        <f t="shared" si="1"/>
        <v>June</v>
      </c>
      <c r="E100" s="5" t="str">
        <f t="shared" si="2"/>
        <v>2025</v>
      </c>
      <c r="F100" s="5" t="str">
        <f t="shared" si="3"/>
        <v>Q2</v>
      </c>
      <c r="G100" s="5">
        <v>1619</v>
      </c>
      <c r="H100" s="5">
        <v>1629.6</v>
      </c>
      <c r="I100" s="5">
        <v>1602.4</v>
      </c>
      <c r="J100" s="5">
        <v>1616</v>
      </c>
      <c r="K100" s="5">
        <v>1611</v>
      </c>
      <c r="L100" s="5">
        <v>1608</v>
      </c>
      <c r="M100" s="5">
        <v>1611.01</v>
      </c>
      <c r="N100" s="5">
        <v>2006.45</v>
      </c>
      <c r="O100" s="5">
        <v>1307</v>
      </c>
      <c r="P100" s="5">
        <v>8912268</v>
      </c>
      <c r="Q100" s="5">
        <v>176021</v>
      </c>
    </row>
    <row r="101" spans="1:17" x14ac:dyDescent="0.25">
      <c r="A101" s="6">
        <v>45838</v>
      </c>
      <c r="B101" s="4" t="s">
        <v>17</v>
      </c>
      <c r="C101" s="5" t="str">
        <f t="shared" si="0"/>
        <v>Monday</v>
      </c>
      <c r="D101" s="5" t="str">
        <f t="shared" si="1"/>
        <v>June</v>
      </c>
      <c r="E101" s="5" t="str">
        <f t="shared" si="2"/>
        <v>2025</v>
      </c>
      <c r="F101" s="5" t="str">
        <f t="shared" si="3"/>
        <v>Q2</v>
      </c>
      <c r="G101" s="5">
        <v>1615</v>
      </c>
      <c r="H101" s="5">
        <v>1615</v>
      </c>
      <c r="I101" s="5">
        <v>1594.1</v>
      </c>
      <c r="J101" s="5">
        <v>1608</v>
      </c>
      <c r="K101" s="5">
        <v>1603.4</v>
      </c>
      <c r="L101" s="5">
        <v>1601.8</v>
      </c>
      <c r="M101" s="5">
        <v>1603.36</v>
      </c>
      <c r="N101" s="5">
        <v>2006.45</v>
      </c>
      <c r="O101" s="5">
        <v>1307</v>
      </c>
      <c r="P101" s="5">
        <v>6294505</v>
      </c>
      <c r="Q101" s="5">
        <v>183538</v>
      </c>
    </row>
    <row r="102" spans="1:17" x14ac:dyDescent="0.25">
      <c r="A102" s="3">
        <v>45839</v>
      </c>
      <c r="B102" s="4" t="s">
        <v>17</v>
      </c>
      <c r="C102" s="5" t="str">
        <f t="shared" si="0"/>
        <v>Tuesday</v>
      </c>
      <c r="D102" s="5" t="str">
        <f t="shared" si="1"/>
        <v>July</v>
      </c>
      <c r="E102" s="5" t="str">
        <f t="shared" si="2"/>
        <v>2025</v>
      </c>
      <c r="F102" s="5" t="str">
        <f t="shared" si="3"/>
        <v>Q3</v>
      </c>
      <c r="G102" s="5">
        <v>1609</v>
      </c>
      <c r="H102" s="5">
        <v>1617.7</v>
      </c>
      <c r="I102" s="5">
        <v>1600.5</v>
      </c>
      <c r="J102" s="5">
        <v>1601.8</v>
      </c>
      <c r="K102" s="5">
        <v>1603</v>
      </c>
      <c r="L102" s="5">
        <v>1606.8</v>
      </c>
      <c r="M102" s="5">
        <v>1607.18</v>
      </c>
      <c r="N102" s="5">
        <v>2006.45</v>
      </c>
      <c r="O102" s="5">
        <v>1307</v>
      </c>
      <c r="P102" s="5">
        <v>4178937</v>
      </c>
      <c r="Q102" s="5">
        <v>151406</v>
      </c>
    </row>
    <row r="103" spans="1:17" x14ac:dyDescent="0.25">
      <c r="A103" s="3">
        <v>45840</v>
      </c>
      <c r="B103" s="4" t="s">
        <v>17</v>
      </c>
      <c r="C103" s="5" t="str">
        <f t="shared" si="0"/>
        <v>Wednesday</v>
      </c>
      <c r="D103" s="5" t="str">
        <f t="shared" si="1"/>
        <v>July</v>
      </c>
      <c r="E103" s="5" t="str">
        <f t="shared" si="2"/>
        <v>2025</v>
      </c>
      <c r="F103" s="5" t="str">
        <f t="shared" si="3"/>
        <v>Q3</v>
      </c>
      <c r="G103" s="5">
        <v>1618</v>
      </c>
      <c r="H103" s="5">
        <v>1649</v>
      </c>
      <c r="I103" s="5">
        <v>1603.4</v>
      </c>
      <c r="J103" s="5">
        <v>1606.8</v>
      </c>
      <c r="K103" s="5">
        <v>1609.6</v>
      </c>
      <c r="L103" s="5">
        <v>1610.5</v>
      </c>
      <c r="M103" s="5">
        <v>1622.6</v>
      </c>
      <c r="N103" s="5">
        <v>2006.45</v>
      </c>
      <c r="O103" s="5">
        <v>1307</v>
      </c>
      <c r="P103" s="5">
        <v>8653641</v>
      </c>
      <c r="Q103" s="5">
        <v>174866</v>
      </c>
    </row>
    <row r="104" spans="1:17" x14ac:dyDescent="0.25">
      <c r="A104" s="3">
        <v>45841</v>
      </c>
      <c r="B104" s="4" t="s">
        <v>17</v>
      </c>
      <c r="C104" s="5" t="str">
        <f t="shared" si="0"/>
        <v>Thursday</v>
      </c>
      <c r="D104" s="5" t="str">
        <f t="shared" si="1"/>
        <v>July</v>
      </c>
      <c r="E104" s="5" t="str">
        <f t="shared" si="2"/>
        <v>2025</v>
      </c>
      <c r="F104" s="5" t="str">
        <f t="shared" si="3"/>
        <v>Q3</v>
      </c>
      <c r="G104" s="5">
        <v>1618.5</v>
      </c>
      <c r="H104" s="5">
        <v>1632.4</v>
      </c>
      <c r="I104" s="5">
        <v>1615</v>
      </c>
      <c r="J104" s="5">
        <v>1610.5</v>
      </c>
      <c r="K104" s="5">
        <v>1616.9</v>
      </c>
      <c r="L104" s="5">
        <v>1618.7</v>
      </c>
      <c r="M104" s="5">
        <v>1622.33</v>
      </c>
      <c r="N104" s="5">
        <v>2006.45</v>
      </c>
      <c r="O104" s="5">
        <v>1307</v>
      </c>
      <c r="P104" s="5">
        <v>5259695</v>
      </c>
      <c r="Q104" s="5">
        <v>157372</v>
      </c>
    </row>
    <row r="105" spans="1:17" x14ac:dyDescent="0.25">
      <c r="A105" s="3">
        <v>45842</v>
      </c>
      <c r="B105" s="4" t="s">
        <v>17</v>
      </c>
      <c r="C105" s="5" t="str">
        <f t="shared" si="0"/>
        <v>Friday</v>
      </c>
      <c r="D105" s="5" t="str">
        <f t="shared" si="1"/>
        <v>July</v>
      </c>
      <c r="E105" s="5" t="str">
        <f t="shared" si="2"/>
        <v>2025</v>
      </c>
      <c r="F105" s="5" t="str">
        <f t="shared" si="3"/>
        <v>Q3</v>
      </c>
      <c r="G105" s="5">
        <v>1625</v>
      </c>
      <c r="H105" s="5">
        <v>1643.4</v>
      </c>
      <c r="I105" s="5">
        <v>1612.3</v>
      </c>
      <c r="J105" s="5">
        <v>1618.7</v>
      </c>
      <c r="K105" s="5">
        <v>1639.7</v>
      </c>
      <c r="L105" s="5">
        <v>1640.7</v>
      </c>
      <c r="M105" s="5">
        <v>1631.46</v>
      </c>
      <c r="N105" s="5">
        <v>2006.45</v>
      </c>
      <c r="O105" s="5">
        <v>1307</v>
      </c>
      <c r="P105" s="5">
        <v>4411273</v>
      </c>
      <c r="Q105" s="5">
        <v>113037</v>
      </c>
    </row>
    <row r="106" spans="1:17" x14ac:dyDescent="0.25">
      <c r="A106" s="3">
        <v>45845</v>
      </c>
      <c r="B106" s="4" t="s">
        <v>17</v>
      </c>
      <c r="C106" s="5" t="str">
        <f t="shared" si="0"/>
        <v>Monday</v>
      </c>
      <c r="D106" s="5" t="str">
        <f t="shared" si="1"/>
        <v>July</v>
      </c>
      <c r="E106" s="5" t="str">
        <f t="shared" si="2"/>
        <v>2025</v>
      </c>
      <c r="F106" s="5" t="str">
        <f t="shared" si="3"/>
        <v>Q3</v>
      </c>
      <c r="G106" s="5">
        <v>1640</v>
      </c>
      <c r="H106" s="5">
        <v>1644</v>
      </c>
      <c r="I106" s="5">
        <v>1623</v>
      </c>
      <c r="J106" s="5">
        <v>1640.7</v>
      </c>
      <c r="K106" s="5">
        <v>1626.9</v>
      </c>
      <c r="L106" s="5">
        <v>1627</v>
      </c>
      <c r="M106" s="5">
        <v>1630.54</v>
      </c>
      <c r="N106" s="5">
        <v>2006.45</v>
      </c>
      <c r="O106" s="5">
        <v>1307</v>
      </c>
      <c r="P106" s="5">
        <v>3294523</v>
      </c>
      <c r="Q106" s="5">
        <v>127270</v>
      </c>
    </row>
    <row r="107" spans="1:17" x14ac:dyDescent="0.25">
      <c r="A107" s="3">
        <v>45846</v>
      </c>
      <c r="B107" s="4" t="s">
        <v>17</v>
      </c>
      <c r="C107" s="5" t="str">
        <f t="shared" si="0"/>
        <v>Tuesday</v>
      </c>
      <c r="D107" s="5" t="str">
        <f t="shared" si="1"/>
        <v>July</v>
      </c>
      <c r="E107" s="5" t="str">
        <f t="shared" si="2"/>
        <v>2025</v>
      </c>
      <c r="F107" s="5" t="str">
        <f t="shared" si="3"/>
        <v>Q3</v>
      </c>
      <c r="G107" s="5">
        <v>1628</v>
      </c>
      <c r="H107" s="5">
        <v>1646.2</v>
      </c>
      <c r="I107" s="5">
        <v>1621.5</v>
      </c>
      <c r="J107" s="5">
        <v>1627</v>
      </c>
      <c r="K107" s="5">
        <v>1638.5</v>
      </c>
      <c r="L107" s="5">
        <v>1638.7</v>
      </c>
      <c r="M107" s="5">
        <v>1635.98</v>
      </c>
      <c r="N107" s="5">
        <v>2006.45</v>
      </c>
      <c r="O107" s="5">
        <v>1307</v>
      </c>
      <c r="P107" s="5">
        <v>4590681</v>
      </c>
      <c r="Q107" s="5">
        <v>131513</v>
      </c>
    </row>
    <row r="108" spans="1:17" x14ac:dyDescent="0.25">
      <c r="A108" s="3">
        <v>45847</v>
      </c>
      <c r="B108" s="4" t="s">
        <v>17</v>
      </c>
      <c r="C108" s="5" t="str">
        <f t="shared" si="0"/>
        <v>Wednesday</v>
      </c>
      <c r="D108" s="5" t="str">
        <f t="shared" si="1"/>
        <v>July</v>
      </c>
      <c r="E108" s="5" t="str">
        <f t="shared" si="2"/>
        <v>2025</v>
      </c>
      <c r="F108" s="5" t="str">
        <f t="shared" si="3"/>
        <v>Q3</v>
      </c>
      <c r="G108" s="5">
        <v>1637.8</v>
      </c>
      <c r="H108" s="5">
        <v>1638</v>
      </c>
      <c r="I108" s="5">
        <v>1623.6</v>
      </c>
      <c r="J108" s="5">
        <v>1638.7</v>
      </c>
      <c r="K108" s="5">
        <v>1632.7</v>
      </c>
      <c r="L108" s="5">
        <v>1633.7</v>
      </c>
      <c r="M108" s="5">
        <v>1630.89</v>
      </c>
      <c r="N108" s="5">
        <v>2006.45</v>
      </c>
      <c r="O108" s="5">
        <v>1307</v>
      </c>
      <c r="P108" s="5">
        <v>4580828</v>
      </c>
      <c r="Q108" s="5">
        <v>171713</v>
      </c>
    </row>
    <row r="109" spans="1:17" x14ac:dyDescent="0.25">
      <c r="A109" s="6">
        <v>45848</v>
      </c>
      <c r="B109" s="4" t="s">
        <v>17</v>
      </c>
      <c r="C109" s="5" t="str">
        <f t="shared" si="0"/>
        <v>Thursday</v>
      </c>
      <c r="D109" s="5" t="str">
        <f t="shared" si="1"/>
        <v>July</v>
      </c>
      <c r="E109" s="5" t="str">
        <f t="shared" si="2"/>
        <v>2025</v>
      </c>
      <c r="F109" s="5" t="str">
        <f t="shared" si="3"/>
        <v>Q3</v>
      </c>
      <c r="G109" s="5">
        <v>1638.9</v>
      </c>
      <c r="H109" s="5">
        <v>1638.9</v>
      </c>
      <c r="I109" s="5">
        <v>1607.1</v>
      </c>
      <c r="J109" s="5">
        <v>1633.7</v>
      </c>
      <c r="K109" s="5">
        <v>1618.8</v>
      </c>
      <c r="L109" s="5">
        <v>1615.8</v>
      </c>
      <c r="M109" s="5">
        <v>1617.52</v>
      </c>
      <c r="N109" s="5">
        <v>2006.45</v>
      </c>
      <c r="O109" s="5">
        <v>1307</v>
      </c>
      <c r="P109" s="5">
        <v>5330179</v>
      </c>
      <c r="Q109" s="5">
        <v>147697</v>
      </c>
    </row>
    <row r="110" spans="1:17" x14ac:dyDescent="0.25">
      <c r="A110" s="6">
        <v>45849</v>
      </c>
      <c r="B110" s="4" t="s">
        <v>17</v>
      </c>
      <c r="C110" s="5" t="str">
        <f t="shared" si="0"/>
        <v>Friday</v>
      </c>
      <c r="D110" s="5" t="str">
        <f t="shared" si="1"/>
        <v>July</v>
      </c>
      <c r="E110" s="5" t="str">
        <f t="shared" si="2"/>
        <v>2025</v>
      </c>
      <c r="F110" s="5" t="str">
        <f t="shared" si="3"/>
        <v>Q3</v>
      </c>
      <c r="G110" s="5">
        <v>1579.1</v>
      </c>
      <c r="H110" s="5">
        <v>1607.1</v>
      </c>
      <c r="I110" s="5">
        <v>1563</v>
      </c>
      <c r="J110" s="5">
        <v>1615.8</v>
      </c>
      <c r="K110" s="5">
        <v>1594.5</v>
      </c>
      <c r="L110" s="5">
        <v>1594.9</v>
      </c>
      <c r="M110" s="5">
        <v>1590.33</v>
      </c>
      <c r="N110" s="5">
        <v>2006.45</v>
      </c>
      <c r="O110" s="5">
        <v>1307</v>
      </c>
      <c r="P110" s="5">
        <v>11391755</v>
      </c>
      <c r="Q110" s="5">
        <v>424033</v>
      </c>
    </row>
    <row r="111" spans="1:17" x14ac:dyDescent="0.25">
      <c r="A111" s="6">
        <v>45852</v>
      </c>
      <c r="B111" s="4" t="s">
        <v>17</v>
      </c>
      <c r="C111" s="5" t="str">
        <f t="shared" si="0"/>
        <v>Monday</v>
      </c>
      <c r="D111" s="5" t="str">
        <f t="shared" si="1"/>
        <v>July</v>
      </c>
      <c r="E111" s="5" t="str">
        <f t="shared" si="2"/>
        <v>2025</v>
      </c>
      <c r="F111" s="5" t="str">
        <f t="shared" si="3"/>
        <v>Q3</v>
      </c>
      <c r="G111" s="5">
        <v>1591.8</v>
      </c>
      <c r="H111" s="5">
        <v>1591.8</v>
      </c>
      <c r="I111" s="5">
        <v>1559.8</v>
      </c>
      <c r="J111" s="5">
        <v>1594.9</v>
      </c>
      <c r="K111" s="5">
        <v>1570.5</v>
      </c>
      <c r="L111" s="5">
        <v>1570.3</v>
      </c>
      <c r="M111" s="5">
        <v>1569.39</v>
      </c>
      <c r="N111" s="5">
        <v>2006.45</v>
      </c>
      <c r="O111" s="5">
        <v>1307</v>
      </c>
      <c r="P111" s="5">
        <v>9173426</v>
      </c>
      <c r="Q111" s="5">
        <v>334884</v>
      </c>
    </row>
    <row r="112" spans="1:17" x14ac:dyDescent="0.25">
      <c r="A112" s="6">
        <v>45853</v>
      </c>
      <c r="B112" s="4" t="s">
        <v>17</v>
      </c>
      <c r="C112" s="5" t="str">
        <f t="shared" si="0"/>
        <v>Tuesday</v>
      </c>
      <c r="D112" s="5" t="str">
        <f t="shared" si="1"/>
        <v>July</v>
      </c>
      <c r="E112" s="5" t="str">
        <f t="shared" si="2"/>
        <v>2025</v>
      </c>
      <c r="F112" s="5" t="str">
        <f t="shared" si="3"/>
        <v>Q3</v>
      </c>
      <c r="G112" s="5">
        <v>1565.1</v>
      </c>
      <c r="H112" s="5">
        <v>1603.6</v>
      </c>
      <c r="I112" s="5">
        <v>1564</v>
      </c>
      <c r="J112" s="5">
        <v>1570.3</v>
      </c>
      <c r="K112" s="5">
        <v>1587.2</v>
      </c>
      <c r="L112" s="5">
        <v>1585.6</v>
      </c>
      <c r="M112" s="5">
        <v>1586.28</v>
      </c>
      <c r="N112" s="5">
        <v>2006.45</v>
      </c>
      <c r="O112" s="5">
        <v>1307</v>
      </c>
      <c r="P112" s="5">
        <v>7614807</v>
      </c>
      <c r="Q112" s="5">
        <v>208916</v>
      </c>
    </row>
    <row r="113" spans="1:17" x14ac:dyDescent="0.25">
      <c r="A113" s="6">
        <v>45854</v>
      </c>
      <c r="B113" s="4" t="s">
        <v>17</v>
      </c>
      <c r="C113" s="5" t="str">
        <f t="shared" si="0"/>
        <v>Wednesday</v>
      </c>
      <c r="D113" s="5" t="str">
        <f t="shared" si="1"/>
        <v>July</v>
      </c>
      <c r="E113" s="5" t="str">
        <f t="shared" si="2"/>
        <v>2025</v>
      </c>
      <c r="F113" s="5" t="str">
        <f t="shared" si="3"/>
        <v>Q3</v>
      </c>
      <c r="G113" s="5">
        <v>1579</v>
      </c>
      <c r="H113" s="5">
        <v>1612</v>
      </c>
      <c r="I113" s="5">
        <v>1578.5</v>
      </c>
      <c r="J113" s="5">
        <v>1585.6</v>
      </c>
      <c r="K113" s="5">
        <v>1609</v>
      </c>
      <c r="L113" s="5">
        <v>1607.9</v>
      </c>
      <c r="M113" s="5">
        <v>1601.98</v>
      </c>
      <c r="N113" s="5">
        <v>2006.45</v>
      </c>
      <c r="O113" s="5">
        <v>1307</v>
      </c>
      <c r="P113" s="5">
        <v>6223491</v>
      </c>
      <c r="Q113" s="5">
        <v>144773</v>
      </c>
    </row>
    <row r="114" spans="1:17" x14ac:dyDescent="0.25">
      <c r="A114" s="6">
        <v>45855</v>
      </c>
      <c r="B114" s="4" t="s">
        <v>17</v>
      </c>
      <c r="C114" s="5" t="str">
        <f t="shared" si="0"/>
        <v>Thursday</v>
      </c>
      <c r="D114" s="5" t="str">
        <f t="shared" si="1"/>
        <v>July</v>
      </c>
      <c r="E114" s="5" t="str">
        <f t="shared" si="2"/>
        <v>2025</v>
      </c>
      <c r="F114" s="5" t="str">
        <f t="shared" si="3"/>
        <v>Q3</v>
      </c>
      <c r="G114" s="5">
        <v>1598</v>
      </c>
      <c r="H114" s="5">
        <v>1610</v>
      </c>
      <c r="I114" s="5">
        <v>1580.1</v>
      </c>
      <c r="J114" s="5">
        <v>1607.9</v>
      </c>
      <c r="K114" s="5">
        <v>1581</v>
      </c>
      <c r="L114" s="5">
        <v>1583.5</v>
      </c>
      <c r="M114" s="5">
        <v>1590.26</v>
      </c>
      <c r="N114" s="5">
        <v>2006.45</v>
      </c>
      <c r="O114" s="5">
        <v>1307</v>
      </c>
      <c r="P114" s="5">
        <v>7374814</v>
      </c>
      <c r="Q114" s="5">
        <v>171441</v>
      </c>
    </row>
    <row r="115" spans="1:17" x14ac:dyDescent="0.25">
      <c r="A115" s="6">
        <v>45856</v>
      </c>
      <c r="B115" s="4" t="s">
        <v>17</v>
      </c>
      <c r="C115" s="5" t="str">
        <f t="shared" si="0"/>
        <v>Friday</v>
      </c>
      <c r="D115" s="5" t="str">
        <f t="shared" si="1"/>
        <v>July</v>
      </c>
      <c r="E115" s="5" t="str">
        <f t="shared" si="2"/>
        <v>2025</v>
      </c>
      <c r="F115" s="5" t="str">
        <f t="shared" si="3"/>
        <v>Q3</v>
      </c>
      <c r="G115" s="5">
        <v>1592.1</v>
      </c>
      <c r="H115" s="5">
        <v>1599.3</v>
      </c>
      <c r="I115" s="5">
        <v>1580</v>
      </c>
      <c r="J115" s="5">
        <v>1583.5</v>
      </c>
      <c r="K115" s="5">
        <v>1588.2</v>
      </c>
      <c r="L115" s="5">
        <v>1586.1</v>
      </c>
      <c r="M115" s="5">
        <v>1586.74</v>
      </c>
      <c r="N115" s="5">
        <v>2006.45</v>
      </c>
      <c r="O115" s="5">
        <v>1307</v>
      </c>
      <c r="P115" s="5">
        <v>5161833</v>
      </c>
      <c r="Q115" s="5">
        <v>113626</v>
      </c>
    </row>
    <row r="116" spans="1:17" x14ac:dyDescent="0.25">
      <c r="A116" s="6">
        <v>45859</v>
      </c>
      <c r="B116" s="4" t="s">
        <v>17</v>
      </c>
      <c r="C116" s="5" t="str">
        <f t="shared" si="0"/>
        <v>Monday</v>
      </c>
      <c r="D116" s="5" t="str">
        <f t="shared" si="1"/>
        <v>July</v>
      </c>
      <c r="E116" s="5" t="str">
        <f t="shared" si="2"/>
        <v>2025</v>
      </c>
      <c r="F116" s="5" t="str">
        <f t="shared" si="3"/>
        <v>Q3</v>
      </c>
      <c r="G116" s="5">
        <v>1580</v>
      </c>
      <c r="H116" s="5">
        <v>1589</v>
      </c>
      <c r="I116" s="5">
        <v>1566.8</v>
      </c>
      <c r="J116" s="5">
        <v>1586.1</v>
      </c>
      <c r="K116" s="5">
        <v>1585.6</v>
      </c>
      <c r="L116" s="5">
        <v>1584.3</v>
      </c>
      <c r="M116" s="5">
        <v>1579.48</v>
      </c>
      <c r="N116" s="5">
        <v>2006.45</v>
      </c>
      <c r="O116" s="5">
        <v>1307</v>
      </c>
      <c r="P116" s="5">
        <v>3682661</v>
      </c>
      <c r="Q116" s="5">
        <v>123969</v>
      </c>
    </row>
    <row r="117" spans="1:17" x14ac:dyDescent="0.25">
      <c r="A117" s="6">
        <v>45860</v>
      </c>
      <c r="B117" s="4" t="s">
        <v>17</v>
      </c>
      <c r="C117" s="5" t="str">
        <f t="shared" si="0"/>
        <v>Tuesday</v>
      </c>
      <c r="D117" s="5" t="str">
        <f t="shared" si="1"/>
        <v>July</v>
      </c>
      <c r="E117" s="5" t="str">
        <f t="shared" si="2"/>
        <v>2025</v>
      </c>
      <c r="F117" s="5" t="str">
        <f t="shared" si="3"/>
        <v>Q3</v>
      </c>
      <c r="G117" s="5">
        <v>1565</v>
      </c>
      <c r="H117" s="5">
        <v>1585.8</v>
      </c>
      <c r="I117" s="5">
        <v>1565</v>
      </c>
      <c r="J117" s="5">
        <v>1584.3</v>
      </c>
      <c r="K117" s="5">
        <v>1575</v>
      </c>
      <c r="L117" s="5">
        <v>1570.9</v>
      </c>
      <c r="M117" s="5">
        <v>1574.26</v>
      </c>
      <c r="N117" s="5">
        <v>2006.45</v>
      </c>
      <c r="O117" s="5">
        <v>1307</v>
      </c>
      <c r="P117" s="5">
        <v>8473741</v>
      </c>
      <c r="Q117" s="5">
        <v>176472</v>
      </c>
    </row>
    <row r="118" spans="1:17" x14ac:dyDescent="0.25">
      <c r="A118" s="6">
        <v>45861</v>
      </c>
      <c r="B118" s="4" t="s">
        <v>17</v>
      </c>
      <c r="C118" s="5" t="str">
        <f t="shared" si="0"/>
        <v>Wednesday</v>
      </c>
      <c r="D118" s="5" t="str">
        <f t="shared" si="1"/>
        <v>July</v>
      </c>
      <c r="E118" s="5" t="str">
        <f t="shared" si="2"/>
        <v>2025</v>
      </c>
      <c r="F118" s="5" t="str">
        <f t="shared" si="3"/>
        <v>Q3</v>
      </c>
      <c r="G118" s="5">
        <v>1576.3</v>
      </c>
      <c r="H118" s="5">
        <v>1591.9</v>
      </c>
      <c r="I118" s="5">
        <v>1550</v>
      </c>
      <c r="J118" s="5">
        <v>1570.9</v>
      </c>
      <c r="K118" s="5">
        <v>1558.9</v>
      </c>
      <c r="L118" s="5">
        <v>1574.5</v>
      </c>
      <c r="M118" s="5">
        <v>1580.42</v>
      </c>
      <c r="N118" s="5">
        <v>2006.45</v>
      </c>
      <c r="O118" s="5">
        <v>1307</v>
      </c>
      <c r="P118" s="5">
        <v>8035026</v>
      </c>
      <c r="Q118" s="5">
        <v>173368</v>
      </c>
    </row>
    <row r="119" spans="1:17" x14ac:dyDescent="0.25">
      <c r="A119" s="6">
        <v>45862</v>
      </c>
      <c r="B119" s="4" t="s">
        <v>17</v>
      </c>
      <c r="C119" s="5" t="str">
        <f t="shared" si="0"/>
        <v>Thursday</v>
      </c>
      <c r="D119" s="5" t="str">
        <f t="shared" si="1"/>
        <v>July</v>
      </c>
      <c r="E119" s="5" t="str">
        <f t="shared" si="2"/>
        <v>2025</v>
      </c>
      <c r="F119" s="5" t="str">
        <f t="shared" si="3"/>
        <v>Q3</v>
      </c>
      <c r="G119" s="5">
        <v>1580</v>
      </c>
      <c r="H119" s="5">
        <v>1582</v>
      </c>
      <c r="I119" s="5">
        <v>1548.2</v>
      </c>
      <c r="J119" s="5">
        <v>1574.5</v>
      </c>
      <c r="K119" s="5">
        <v>1553</v>
      </c>
      <c r="L119" s="5">
        <v>1552.5</v>
      </c>
      <c r="M119" s="5">
        <v>1557.81</v>
      </c>
      <c r="N119" s="5">
        <v>2006.45</v>
      </c>
      <c r="O119" s="5">
        <v>1307</v>
      </c>
      <c r="P119" s="5">
        <v>14169664</v>
      </c>
      <c r="Q119" s="5">
        <v>270970</v>
      </c>
    </row>
    <row r="120" spans="1:17" x14ac:dyDescent="0.25">
      <c r="A120" s="6">
        <v>45863</v>
      </c>
      <c r="B120" s="4" t="s">
        <v>17</v>
      </c>
      <c r="C120" s="5" t="str">
        <f t="shared" si="0"/>
        <v>Friday</v>
      </c>
      <c r="D120" s="5" t="str">
        <f t="shared" si="1"/>
        <v>July</v>
      </c>
      <c r="E120" s="5" t="str">
        <f t="shared" si="2"/>
        <v>2025</v>
      </c>
      <c r="F120" s="5" t="str">
        <f t="shared" si="3"/>
        <v>Q3</v>
      </c>
      <c r="G120" s="5">
        <v>1543.4</v>
      </c>
      <c r="H120" s="5">
        <v>1549.5</v>
      </c>
      <c r="I120" s="5">
        <v>1511.3</v>
      </c>
      <c r="J120" s="5">
        <v>1552.5</v>
      </c>
      <c r="K120" s="5">
        <v>1518.5</v>
      </c>
      <c r="L120" s="5">
        <v>1515.7</v>
      </c>
      <c r="M120" s="5">
        <v>1523.67</v>
      </c>
      <c r="N120" s="5">
        <v>2006.45</v>
      </c>
      <c r="O120" s="5">
        <v>1307</v>
      </c>
      <c r="P120" s="5">
        <v>10851259</v>
      </c>
      <c r="Q120" s="5">
        <v>241673</v>
      </c>
    </row>
    <row r="121" spans="1:17" x14ac:dyDescent="0.25">
      <c r="A121" s="6">
        <v>45866</v>
      </c>
      <c r="B121" s="4" t="s">
        <v>17</v>
      </c>
      <c r="C121" s="5" t="str">
        <f t="shared" si="0"/>
        <v>Monday</v>
      </c>
      <c r="D121" s="5" t="str">
        <f t="shared" si="1"/>
        <v>July</v>
      </c>
      <c r="E121" s="5" t="str">
        <f t="shared" si="2"/>
        <v>2025</v>
      </c>
      <c r="F121" s="5" t="str">
        <f t="shared" si="3"/>
        <v>Q3</v>
      </c>
      <c r="G121" s="5">
        <v>1513.9</v>
      </c>
      <c r="H121" s="5">
        <v>1519.3</v>
      </c>
      <c r="I121" s="5">
        <v>1482.5</v>
      </c>
      <c r="J121" s="5">
        <v>1515.7</v>
      </c>
      <c r="K121" s="5">
        <v>1514.9</v>
      </c>
      <c r="L121" s="5">
        <v>1516</v>
      </c>
      <c r="M121" s="5">
        <v>1508.3</v>
      </c>
      <c r="N121" s="5">
        <v>2006.45</v>
      </c>
      <c r="O121" s="5">
        <v>1307</v>
      </c>
      <c r="P121" s="5">
        <v>6439855</v>
      </c>
      <c r="Q121" s="5">
        <v>209764</v>
      </c>
    </row>
    <row r="122" spans="1:17" x14ac:dyDescent="0.25">
      <c r="A122" s="6">
        <v>45867</v>
      </c>
      <c r="B122" s="4" t="s">
        <v>17</v>
      </c>
      <c r="C122" s="5" t="str">
        <f t="shared" si="0"/>
        <v>Tuesday</v>
      </c>
      <c r="D122" s="5" t="str">
        <f t="shared" si="1"/>
        <v>July</v>
      </c>
      <c r="E122" s="5" t="str">
        <f t="shared" si="2"/>
        <v>2025</v>
      </c>
      <c r="F122" s="5" t="str">
        <f t="shared" si="3"/>
        <v>Q3</v>
      </c>
      <c r="G122" s="5">
        <v>1512.9</v>
      </c>
      <c r="H122" s="5">
        <v>1517.2</v>
      </c>
      <c r="I122" s="5">
        <v>1496.1</v>
      </c>
      <c r="J122" s="5">
        <v>1516</v>
      </c>
      <c r="K122" s="5">
        <v>1513.5</v>
      </c>
      <c r="L122" s="5">
        <v>1513.7</v>
      </c>
      <c r="M122" s="5">
        <v>1509.14</v>
      </c>
      <c r="N122" s="5">
        <v>2006.45</v>
      </c>
      <c r="O122" s="5">
        <v>1307</v>
      </c>
      <c r="P122" s="5">
        <v>7070448</v>
      </c>
      <c r="Q122" s="5">
        <v>229718</v>
      </c>
    </row>
    <row r="123" spans="1:17" x14ac:dyDescent="0.25">
      <c r="A123" s="6">
        <v>45868</v>
      </c>
      <c r="B123" s="4" t="s">
        <v>17</v>
      </c>
      <c r="C123" s="5" t="str">
        <f t="shared" si="0"/>
        <v>Wednesday</v>
      </c>
      <c r="D123" s="5" t="str">
        <f t="shared" si="1"/>
        <v>July</v>
      </c>
      <c r="E123" s="5" t="str">
        <f t="shared" si="2"/>
        <v>2025</v>
      </c>
      <c r="F123" s="5" t="str">
        <f t="shared" si="3"/>
        <v>Q3</v>
      </c>
      <c r="G123" s="5">
        <v>1519.9</v>
      </c>
      <c r="H123" s="5">
        <v>1521.7</v>
      </c>
      <c r="I123" s="5">
        <v>1506</v>
      </c>
      <c r="J123" s="5">
        <v>1513.7</v>
      </c>
      <c r="K123" s="5">
        <v>1518</v>
      </c>
      <c r="L123" s="5">
        <v>1519</v>
      </c>
      <c r="M123" s="5">
        <v>1515.04</v>
      </c>
      <c r="N123" s="5">
        <v>2006.45</v>
      </c>
      <c r="O123" s="5">
        <v>1307</v>
      </c>
      <c r="P123" s="5">
        <v>5719051</v>
      </c>
      <c r="Q123" s="5">
        <v>117771</v>
      </c>
    </row>
    <row r="124" spans="1:17" x14ac:dyDescent="0.25">
      <c r="A124" s="6">
        <v>45869</v>
      </c>
      <c r="B124" s="4" t="s">
        <v>17</v>
      </c>
      <c r="C124" s="5" t="str">
        <f t="shared" si="0"/>
        <v>Thursday</v>
      </c>
      <c r="D124" s="5" t="str">
        <f t="shared" si="1"/>
        <v>July</v>
      </c>
      <c r="E124" s="5" t="str">
        <f t="shared" si="2"/>
        <v>2025</v>
      </c>
      <c r="F124" s="5" t="str">
        <f t="shared" si="3"/>
        <v>Q3</v>
      </c>
      <c r="G124" s="5">
        <v>1509.7</v>
      </c>
      <c r="H124" s="5">
        <v>1527.1</v>
      </c>
      <c r="I124" s="5">
        <v>1497</v>
      </c>
      <c r="J124" s="5">
        <v>1519</v>
      </c>
      <c r="K124" s="5">
        <v>1508.9</v>
      </c>
      <c r="L124" s="5">
        <v>1509</v>
      </c>
      <c r="M124" s="5">
        <v>1510.45</v>
      </c>
      <c r="N124" s="5">
        <v>2006.45</v>
      </c>
      <c r="O124" s="5">
        <v>1307</v>
      </c>
      <c r="P124" s="5">
        <v>6851407</v>
      </c>
      <c r="Q124" s="5">
        <v>244747</v>
      </c>
    </row>
    <row r="125" spans="1:17" x14ac:dyDescent="0.25">
      <c r="A125" s="3">
        <v>45870</v>
      </c>
      <c r="B125" s="4" t="s">
        <v>17</v>
      </c>
      <c r="C125" s="5" t="str">
        <f t="shared" si="0"/>
        <v>Friday</v>
      </c>
      <c r="D125" s="5" t="str">
        <f t="shared" si="1"/>
        <v>August</v>
      </c>
      <c r="E125" s="5" t="str">
        <f t="shared" si="2"/>
        <v>2025</v>
      </c>
      <c r="F125" s="5" t="str">
        <f t="shared" si="3"/>
        <v>Q3</v>
      </c>
      <c r="G125" s="5">
        <v>1493.9</v>
      </c>
      <c r="H125" s="5">
        <v>1498.7</v>
      </c>
      <c r="I125" s="5">
        <v>1465.5</v>
      </c>
      <c r="J125" s="5">
        <v>1509</v>
      </c>
      <c r="K125" s="5">
        <v>1468.3</v>
      </c>
      <c r="L125" s="5">
        <v>1469.6</v>
      </c>
      <c r="M125" s="5">
        <v>1479.8</v>
      </c>
      <c r="N125" s="5">
        <v>2006.45</v>
      </c>
      <c r="O125" s="5">
        <v>1307</v>
      </c>
      <c r="P125" s="5">
        <v>8702978</v>
      </c>
      <c r="Q125" s="5">
        <v>245779</v>
      </c>
    </row>
    <row r="126" spans="1:17" x14ac:dyDescent="0.25">
      <c r="A126" s="3">
        <v>45873</v>
      </c>
      <c r="B126" s="4" t="s">
        <v>17</v>
      </c>
      <c r="C126" s="5" t="str">
        <f t="shared" si="0"/>
        <v>Monday</v>
      </c>
      <c r="D126" s="5" t="str">
        <f t="shared" si="1"/>
        <v>August</v>
      </c>
      <c r="E126" s="5" t="str">
        <f t="shared" si="2"/>
        <v>2025</v>
      </c>
      <c r="F126" s="5" t="str">
        <f t="shared" si="3"/>
        <v>Q3</v>
      </c>
      <c r="G126" s="5">
        <v>1461.5</v>
      </c>
      <c r="H126" s="5">
        <v>1482.8</v>
      </c>
      <c r="I126" s="5">
        <v>1451</v>
      </c>
      <c r="J126" s="5">
        <v>1469.6</v>
      </c>
      <c r="K126" s="5">
        <v>1480.7</v>
      </c>
      <c r="L126" s="5">
        <v>1480.5</v>
      </c>
      <c r="M126" s="5">
        <v>1469.55</v>
      </c>
      <c r="N126" s="5">
        <v>2006.45</v>
      </c>
      <c r="O126" s="5">
        <v>1307</v>
      </c>
      <c r="P126" s="5">
        <v>8610216</v>
      </c>
      <c r="Q126" s="5">
        <v>203292</v>
      </c>
    </row>
    <row r="127" spans="1:17" x14ac:dyDescent="0.25">
      <c r="A127" s="3">
        <v>45874</v>
      </c>
      <c r="B127" s="4" t="s">
        <v>17</v>
      </c>
      <c r="C127" s="5" t="str">
        <f t="shared" si="0"/>
        <v>Tuesday</v>
      </c>
      <c r="D127" s="5" t="str">
        <f t="shared" si="1"/>
        <v>August</v>
      </c>
      <c r="E127" s="5" t="str">
        <f t="shared" si="2"/>
        <v>2025</v>
      </c>
      <c r="F127" s="5" t="str">
        <f t="shared" si="3"/>
        <v>Q3</v>
      </c>
      <c r="G127" s="5">
        <v>1478.7</v>
      </c>
      <c r="H127" s="5">
        <v>1478.7</v>
      </c>
      <c r="I127" s="5">
        <v>1455</v>
      </c>
      <c r="J127" s="5">
        <v>1480.5</v>
      </c>
      <c r="K127" s="5">
        <v>1460</v>
      </c>
      <c r="L127" s="5">
        <v>1460.3</v>
      </c>
      <c r="M127" s="5">
        <v>1461.05</v>
      </c>
      <c r="N127" s="5">
        <v>2006.45</v>
      </c>
      <c r="O127" s="5">
        <v>1307</v>
      </c>
      <c r="P127" s="5">
        <v>10213323</v>
      </c>
      <c r="Q127" s="5">
        <v>259533</v>
      </c>
    </row>
    <row r="128" spans="1:17" x14ac:dyDescent="0.25">
      <c r="A128" s="3">
        <v>45875</v>
      </c>
      <c r="B128" s="4" t="s">
        <v>17</v>
      </c>
      <c r="C128" s="5" t="str">
        <f t="shared" si="0"/>
        <v>Wednesday</v>
      </c>
      <c r="D128" s="5" t="str">
        <f t="shared" si="1"/>
        <v>August</v>
      </c>
      <c r="E128" s="5" t="str">
        <f t="shared" si="2"/>
        <v>2025</v>
      </c>
      <c r="F128" s="5" t="str">
        <f t="shared" si="3"/>
        <v>Q3</v>
      </c>
      <c r="G128" s="5">
        <v>1452</v>
      </c>
      <c r="H128" s="5">
        <v>1456.1</v>
      </c>
      <c r="I128" s="5">
        <v>1430.3</v>
      </c>
      <c r="J128" s="5">
        <v>1460.3</v>
      </c>
      <c r="K128" s="5">
        <v>1433</v>
      </c>
      <c r="L128" s="5">
        <v>1436.7</v>
      </c>
      <c r="M128" s="5">
        <v>1440.41</v>
      </c>
      <c r="N128" s="5">
        <v>2006.45</v>
      </c>
      <c r="O128" s="5">
        <v>1307</v>
      </c>
      <c r="P128" s="5">
        <v>10566934</v>
      </c>
      <c r="Q128" s="5">
        <v>324361</v>
      </c>
    </row>
    <row r="129" spans="1:17" x14ac:dyDescent="0.25">
      <c r="A129" s="3">
        <v>45876</v>
      </c>
      <c r="B129" s="4" t="s">
        <v>17</v>
      </c>
      <c r="C129" s="5" t="str">
        <f t="shared" si="0"/>
        <v>Thursday</v>
      </c>
      <c r="D129" s="5" t="str">
        <f t="shared" si="1"/>
        <v>August</v>
      </c>
      <c r="E129" s="5" t="str">
        <f t="shared" si="2"/>
        <v>2025</v>
      </c>
      <c r="F129" s="5" t="str">
        <f t="shared" si="3"/>
        <v>Q3</v>
      </c>
      <c r="G129" s="5">
        <v>1430</v>
      </c>
      <c r="H129" s="5">
        <v>1442</v>
      </c>
      <c r="I129" s="5">
        <v>1414.2</v>
      </c>
      <c r="J129" s="5">
        <v>1436.7</v>
      </c>
      <c r="K129" s="5">
        <v>1441</v>
      </c>
      <c r="L129" s="5">
        <v>1436.9</v>
      </c>
      <c r="M129" s="5">
        <v>1428.81</v>
      </c>
      <c r="N129" s="5">
        <v>2006.45</v>
      </c>
      <c r="O129" s="5">
        <v>1307</v>
      </c>
      <c r="P129" s="5">
        <v>9892020</v>
      </c>
      <c r="Q129" s="5">
        <v>274685</v>
      </c>
    </row>
    <row r="130" spans="1:17" x14ac:dyDescent="0.25">
      <c r="A130" s="3">
        <v>45877</v>
      </c>
      <c r="B130" s="4" t="s">
        <v>17</v>
      </c>
      <c r="C130" s="5" t="str">
        <f t="shared" si="0"/>
        <v>Friday</v>
      </c>
      <c r="D130" s="5" t="str">
        <f t="shared" si="1"/>
        <v>August</v>
      </c>
      <c r="E130" s="5" t="str">
        <f t="shared" si="2"/>
        <v>2025</v>
      </c>
      <c r="F130" s="5" t="str">
        <f t="shared" si="3"/>
        <v>Q3</v>
      </c>
      <c r="G130" s="5">
        <v>1425</v>
      </c>
      <c r="H130" s="5">
        <v>1433.2</v>
      </c>
      <c r="I130" s="5">
        <v>1417.1</v>
      </c>
      <c r="J130" s="5">
        <v>1436.9</v>
      </c>
      <c r="K130" s="5">
        <v>1424</v>
      </c>
      <c r="L130" s="5">
        <v>1423.1</v>
      </c>
      <c r="M130" s="5">
        <v>1424.44</v>
      </c>
      <c r="N130" s="5">
        <v>2006.45</v>
      </c>
      <c r="O130" s="5">
        <v>1307</v>
      </c>
      <c r="P130" s="5">
        <v>10048009</v>
      </c>
      <c r="Q130" s="5">
        <v>310037</v>
      </c>
    </row>
    <row r="131" spans="1:17" x14ac:dyDescent="0.25">
      <c r="A131" s="6">
        <v>45880</v>
      </c>
      <c r="B131" s="4" t="s">
        <v>17</v>
      </c>
      <c r="C131" s="5" t="str">
        <f t="shared" si="0"/>
        <v>Monday</v>
      </c>
      <c r="D131" s="5" t="str">
        <f t="shared" si="1"/>
        <v>August</v>
      </c>
      <c r="E131" s="5" t="str">
        <f t="shared" si="2"/>
        <v>2025</v>
      </c>
      <c r="F131" s="5" t="str">
        <f t="shared" si="3"/>
        <v>Q3</v>
      </c>
      <c r="G131" s="5">
        <v>1419.9</v>
      </c>
      <c r="H131" s="5">
        <v>1433.4</v>
      </c>
      <c r="I131" s="5">
        <v>1414</v>
      </c>
      <c r="J131" s="5">
        <v>1423.1</v>
      </c>
      <c r="K131" s="5">
        <v>1426</v>
      </c>
      <c r="L131" s="5">
        <v>1428.2</v>
      </c>
      <c r="M131" s="5">
        <v>1425.61</v>
      </c>
      <c r="N131" s="5">
        <v>2006.45</v>
      </c>
      <c r="O131" s="5">
        <v>1307</v>
      </c>
      <c r="P131" s="5">
        <v>6625368</v>
      </c>
      <c r="Q131" s="5">
        <v>287957</v>
      </c>
    </row>
    <row r="132" spans="1:17" x14ac:dyDescent="0.25">
      <c r="A132" s="6">
        <v>45881</v>
      </c>
      <c r="B132" s="4" t="s">
        <v>17</v>
      </c>
      <c r="C132" s="5" t="str">
        <f t="shared" si="0"/>
        <v>Tuesday</v>
      </c>
      <c r="D132" s="5" t="str">
        <f t="shared" si="1"/>
        <v>August</v>
      </c>
      <c r="E132" s="5" t="str">
        <f t="shared" si="2"/>
        <v>2025</v>
      </c>
      <c r="F132" s="5" t="str">
        <f t="shared" si="3"/>
        <v>Q3</v>
      </c>
      <c r="G132" s="5">
        <v>1428.2</v>
      </c>
      <c r="H132" s="5">
        <v>1441</v>
      </c>
      <c r="I132" s="5">
        <v>1421</v>
      </c>
      <c r="J132" s="5">
        <v>1428.2</v>
      </c>
      <c r="K132" s="5">
        <v>1425.8</v>
      </c>
      <c r="L132" s="5">
        <v>1424.1</v>
      </c>
      <c r="M132" s="5">
        <v>1431.09</v>
      </c>
      <c r="N132" s="5">
        <v>2006.45</v>
      </c>
      <c r="O132" s="5">
        <v>1307</v>
      </c>
      <c r="P132" s="5">
        <v>9899184</v>
      </c>
      <c r="Q132" s="5">
        <v>296874</v>
      </c>
    </row>
    <row r="133" spans="1:17" x14ac:dyDescent="0.25">
      <c r="A133" s="6">
        <v>45882</v>
      </c>
      <c r="B133" s="4" t="s">
        <v>17</v>
      </c>
      <c r="C133" s="5" t="str">
        <f t="shared" si="0"/>
        <v>Wednesday</v>
      </c>
      <c r="D133" s="5" t="str">
        <f t="shared" si="1"/>
        <v>August</v>
      </c>
      <c r="E133" s="5" t="str">
        <f t="shared" si="2"/>
        <v>2025</v>
      </c>
      <c r="F133" s="5" t="str">
        <f t="shared" si="3"/>
        <v>Q3</v>
      </c>
      <c r="G133" s="5">
        <v>1425</v>
      </c>
      <c r="H133" s="5">
        <v>1434</v>
      </c>
      <c r="I133" s="5">
        <v>1422.4</v>
      </c>
      <c r="J133" s="5">
        <v>1424.1</v>
      </c>
      <c r="K133" s="5">
        <v>1426.4</v>
      </c>
      <c r="L133" s="5">
        <v>1426.6</v>
      </c>
      <c r="M133" s="5">
        <v>1427.16</v>
      </c>
      <c r="N133" s="5">
        <v>2006.45</v>
      </c>
      <c r="O133" s="5">
        <v>1307</v>
      </c>
      <c r="P133" s="5">
        <v>10318063</v>
      </c>
      <c r="Q133" s="5">
        <v>282240</v>
      </c>
    </row>
    <row r="134" spans="1:17" x14ac:dyDescent="0.25">
      <c r="A134" s="6">
        <v>45883</v>
      </c>
      <c r="B134" s="4" t="s">
        <v>17</v>
      </c>
      <c r="C134" s="5" t="str">
        <f t="shared" si="0"/>
        <v>Thursday</v>
      </c>
      <c r="D134" s="5" t="str">
        <f t="shared" si="1"/>
        <v>August</v>
      </c>
      <c r="E134" s="5" t="str">
        <f t="shared" si="2"/>
        <v>2025</v>
      </c>
      <c r="F134" s="5" t="str">
        <f t="shared" si="3"/>
        <v>Q3</v>
      </c>
      <c r="G134" s="5">
        <v>1426.2</v>
      </c>
      <c r="H134" s="5">
        <v>1470</v>
      </c>
      <c r="I134" s="5">
        <v>1426.2</v>
      </c>
      <c r="J134" s="5">
        <v>1426.6</v>
      </c>
      <c r="K134" s="5">
        <v>1448</v>
      </c>
      <c r="L134" s="5">
        <v>1447.7</v>
      </c>
      <c r="M134" s="5">
        <v>1451.87</v>
      </c>
      <c r="N134" s="5">
        <v>2006.45</v>
      </c>
      <c r="O134" s="5">
        <v>1307</v>
      </c>
      <c r="P134" s="5">
        <v>12902347</v>
      </c>
      <c r="Q134" s="5">
        <v>216803</v>
      </c>
    </row>
    <row r="135" spans="1:17" x14ac:dyDescent="0.25">
      <c r="A135" s="6">
        <v>45887</v>
      </c>
      <c r="B135" s="4" t="s">
        <v>17</v>
      </c>
      <c r="C135" s="5" t="str">
        <f t="shared" si="0"/>
        <v>Monday</v>
      </c>
      <c r="D135" s="5" t="str">
        <f t="shared" si="1"/>
        <v>August</v>
      </c>
      <c r="E135" s="5" t="str">
        <f t="shared" si="2"/>
        <v>2025</v>
      </c>
      <c r="F135" s="5" t="str">
        <f t="shared" si="3"/>
        <v>Q3</v>
      </c>
      <c r="G135" s="5">
        <v>1464.7</v>
      </c>
      <c r="H135" s="5">
        <v>1464.7</v>
      </c>
      <c r="I135" s="5">
        <v>1429.6</v>
      </c>
      <c r="J135" s="5">
        <v>1447.7</v>
      </c>
      <c r="K135" s="5">
        <v>1436</v>
      </c>
      <c r="L135" s="5">
        <v>1435.8</v>
      </c>
      <c r="M135" s="5">
        <v>1438.72</v>
      </c>
      <c r="N135" s="5">
        <v>2006.45</v>
      </c>
      <c r="O135" s="5">
        <v>1307</v>
      </c>
      <c r="P135" s="5">
        <v>7254561</v>
      </c>
      <c r="Q135" s="5">
        <v>182842</v>
      </c>
    </row>
    <row r="136" spans="1:17" x14ac:dyDescent="0.25">
      <c r="A136" s="6">
        <v>45888</v>
      </c>
      <c r="B136" s="4" t="s">
        <v>17</v>
      </c>
      <c r="C136" s="5" t="str">
        <f t="shared" si="0"/>
        <v>Tuesday</v>
      </c>
      <c r="D136" s="5" t="str">
        <f t="shared" si="1"/>
        <v>August</v>
      </c>
      <c r="E136" s="5" t="str">
        <f t="shared" si="2"/>
        <v>2025</v>
      </c>
      <c r="F136" s="5" t="str">
        <f t="shared" si="3"/>
        <v>Q3</v>
      </c>
      <c r="G136" s="5">
        <v>1432.7</v>
      </c>
      <c r="H136" s="5">
        <v>1449.4</v>
      </c>
      <c r="I136" s="5">
        <v>1432.7</v>
      </c>
      <c r="J136" s="5">
        <v>1435.8</v>
      </c>
      <c r="K136" s="5">
        <v>1442.5</v>
      </c>
      <c r="L136" s="5">
        <v>1440</v>
      </c>
      <c r="M136" s="5">
        <v>1442.34</v>
      </c>
      <c r="N136" s="5">
        <v>2006.45</v>
      </c>
      <c r="O136" s="5">
        <v>1307</v>
      </c>
      <c r="P136" s="5">
        <v>3986094</v>
      </c>
      <c r="Q136" s="5">
        <v>147879</v>
      </c>
    </row>
    <row r="137" spans="1:17" x14ac:dyDescent="0.25">
      <c r="A137" s="6">
        <v>45889</v>
      </c>
      <c r="B137" s="4" t="s">
        <v>17</v>
      </c>
      <c r="C137" s="5" t="str">
        <f t="shared" si="0"/>
        <v>Wednesday</v>
      </c>
      <c r="D137" s="5" t="str">
        <f t="shared" si="1"/>
        <v>August</v>
      </c>
      <c r="E137" s="5" t="str">
        <f t="shared" si="2"/>
        <v>2025</v>
      </c>
      <c r="F137" s="5" t="str">
        <f t="shared" si="3"/>
        <v>Q3</v>
      </c>
      <c r="G137" s="5">
        <v>1440.7</v>
      </c>
      <c r="H137" s="5">
        <v>1499</v>
      </c>
      <c r="I137" s="5">
        <v>1440.7</v>
      </c>
      <c r="J137" s="5">
        <v>1440</v>
      </c>
      <c r="K137" s="5">
        <v>1495.1</v>
      </c>
      <c r="L137" s="5">
        <v>1496.2</v>
      </c>
      <c r="M137" s="5">
        <v>1482.74</v>
      </c>
      <c r="N137" s="5">
        <v>2006.45</v>
      </c>
      <c r="O137" s="5">
        <v>1307</v>
      </c>
      <c r="P137" s="5">
        <v>10413061</v>
      </c>
      <c r="Q137" s="5">
        <v>307308</v>
      </c>
    </row>
    <row r="138" spans="1:17" x14ac:dyDescent="0.25">
      <c r="A138" s="6">
        <v>45890</v>
      </c>
      <c r="B138" s="4" t="s">
        <v>17</v>
      </c>
      <c r="C138" s="5" t="str">
        <f t="shared" si="0"/>
        <v>Thursday</v>
      </c>
      <c r="D138" s="5" t="str">
        <f t="shared" si="1"/>
        <v>August</v>
      </c>
      <c r="E138" s="5" t="str">
        <f t="shared" si="2"/>
        <v>2025</v>
      </c>
      <c r="F138" s="5" t="str">
        <f t="shared" si="3"/>
        <v>Q3</v>
      </c>
      <c r="G138" s="5">
        <v>1508</v>
      </c>
      <c r="H138" s="5">
        <v>1508</v>
      </c>
      <c r="I138" s="5">
        <v>1484.3</v>
      </c>
      <c r="J138" s="5">
        <v>1496.2</v>
      </c>
      <c r="K138" s="5">
        <v>1495.5</v>
      </c>
      <c r="L138" s="5">
        <v>1496.4</v>
      </c>
      <c r="M138" s="5">
        <v>1497.17</v>
      </c>
      <c r="N138" s="5">
        <v>2006.45</v>
      </c>
      <c r="O138" s="5">
        <v>1307</v>
      </c>
      <c r="P138" s="5">
        <v>6565539</v>
      </c>
      <c r="Q138" s="5">
        <v>208499</v>
      </c>
    </row>
    <row r="139" spans="1:17" x14ac:dyDescent="0.25">
      <c r="A139" s="6">
        <v>45891</v>
      </c>
      <c r="B139" s="4" t="s">
        <v>17</v>
      </c>
      <c r="C139" s="5" t="str">
        <f t="shared" si="0"/>
        <v>Friday</v>
      </c>
      <c r="D139" s="5" t="str">
        <f t="shared" si="1"/>
        <v>August</v>
      </c>
      <c r="E139" s="5" t="str">
        <f t="shared" si="2"/>
        <v>2025</v>
      </c>
      <c r="F139" s="5" t="str">
        <f t="shared" si="3"/>
        <v>Q3</v>
      </c>
      <c r="G139" s="5">
        <v>1498.1</v>
      </c>
      <c r="H139" s="5">
        <v>1504.3</v>
      </c>
      <c r="I139" s="5">
        <v>1486.1</v>
      </c>
      <c r="J139" s="5">
        <v>1496.4</v>
      </c>
      <c r="K139" s="5">
        <v>1487.9</v>
      </c>
      <c r="L139" s="5">
        <v>1487.5</v>
      </c>
      <c r="M139" s="5">
        <v>1492.1</v>
      </c>
      <c r="N139" s="5">
        <v>2006.45</v>
      </c>
      <c r="O139" s="5">
        <v>1307</v>
      </c>
      <c r="P139" s="5">
        <v>5543397</v>
      </c>
      <c r="Q139" s="5">
        <v>181180</v>
      </c>
    </row>
    <row r="140" spans="1:17" x14ac:dyDescent="0.25">
      <c r="A140" s="6">
        <v>45894</v>
      </c>
      <c r="B140" s="4" t="s">
        <v>17</v>
      </c>
      <c r="C140" s="5" t="str">
        <f t="shared" si="0"/>
        <v>Monday</v>
      </c>
      <c r="D140" s="5" t="str">
        <f t="shared" si="1"/>
        <v>August</v>
      </c>
      <c r="E140" s="5" t="str">
        <f t="shared" si="2"/>
        <v>2025</v>
      </c>
      <c r="F140" s="5" t="str">
        <f t="shared" si="3"/>
        <v>Q3</v>
      </c>
      <c r="G140" s="5">
        <v>1506.7</v>
      </c>
      <c r="H140" s="5">
        <v>1539</v>
      </c>
      <c r="I140" s="5">
        <v>1506.7</v>
      </c>
      <c r="J140" s="5">
        <v>1487.5</v>
      </c>
      <c r="K140" s="5">
        <v>1533.3</v>
      </c>
      <c r="L140" s="5">
        <v>1532.1</v>
      </c>
      <c r="M140" s="5">
        <v>1529.98</v>
      </c>
      <c r="N140" s="5">
        <v>2006.45</v>
      </c>
      <c r="O140" s="5">
        <v>1307</v>
      </c>
      <c r="P140" s="5">
        <v>10694531</v>
      </c>
      <c r="Q140" s="5">
        <v>293354</v>
      </c>
    </row>
    <row r="141" spans="1:17" x14ac:dyDescent="0.25">
      <c r="A141" s="6">
        <v>45895</v>
      </c>
      <c r="B141" s="4" t="s">
        <v>17</v>
      </c>
      <c r="C141" s="5" t="str">
        <f t="shared" si="0"/>
        <v>Tuesday</v>
      </c>
      <c r="D141" s="5" t="str">
        <f t="shared" si="1"/>
        <v>August</v>
      </c>
      <c r="E141" s="5" t="str">
        <f t="shared" si="2"/>
        <v>2025</v>
      </c>
      <c r="F141" s="5" t="str">
        <f t="shared" si="3"/>
        <v>Q3</v>
      </c>
      <c r="G141" s="5">
        <v>1523</v>
      </c>
      <c r="H141" s="5">
        <v>1538.4</v>
      </c>
      <c r="I141" s="5">
        <v>1518.6</v>
      </c>
      <c r="J141" s="5">
        <v>1532.1</v>
      </c>
      <c r="K141" s="5">
        <v>1525.8</v>
      </c>
      <c r="L141" s="5">
        <v>1529.6</v>
      </c>
      <c r="M141" s="5">
        <v>1528.71</v>
      </c>
      <c r="N141" s="5">
        <v>2006.45</v>
      </c>
      <c r="O141" s="5">
        <v>1307</v>
      </c>
      <c r="P141" s="5">
        <v>15994798</v>
      </c>
      <c r="Q141" s="5">
        <v>229265</v>
      </c>
    </row>
    <row r="142" spans="1:17" x14ac:dyDescent="0.25">
      <c r="A142" s="6">
        <v>45897</v>
      </c>
      <c r="B142" s="4" t="s">
        <v>17</v>
      </c>
      <c r="C142" s="5" t="str">
        <f t="shared" si="0"/>
        <v>Thursday</v>
      </c>
      <c r="D142" s="5" t="str">
        <f t="shared" si="1"/>
        <v>August</v>
      </c>
      <c r="E142" s="5" t="str">
        <f t="shared" si="2"/>
        <v>2025</v>
      </c>
      <c r="F142" s="5" t="str">
        <f t="shared" si="3"/>
        <v>Q3</v>
      </c>
      <c r="G142" s="5">
        <v>1529.6</v>
      </c>
      <c r="H142" s="5">
        <v>1529.6</v>
      </c>
      <c r="I142" s="5">
        <v>1498</v>
      </c>
      <c r="J142" s="5">
        <v>1529.6</v>
      </c>
      <c r="K142" s="5">
        <v>1503</v>
      </c>
      <c r="L142" s="5">
        <v>1500.1</v>
      </c>
      <c r="M142" s="5">
        <v>1505.61</v>
      </c>
      <c r="N142" s="5">
        <v>2006.45</v>
      </c>
      <c r="O142" s="5">
        <v>1307</v>
      </c>
      <c r="P142" s="5">
        <v>5443364</v>
      </c>
      <c r="Q142" s="5">
        <v>191326</v>
      </c>
    </row>
    <row r="143" spans="1:17" x14ac:dyDescent="0.25">
      <c r="A143" s="6">
        <v>45898</v>
      </c>
      <c r="B143" s="4" t="s">
        <v>17</v>
      </c>
      <c r="C143" s="5" t="str">
        <f t="shared" si="0"/>
        <v>Friday</v>
      </c>
      <c r="D143" s="5" t="str">
        <f t="shared" si="1"/>
        <v>August</v>
      </c>
      <c r="E143" s="5" t="str">
        <f t="shared" si="2"/>
        <v>2025</v>
      </c>
      <c r="F143" s="5" t="str">
        <f t="shared" si="3"/>
        <v>Q3</v>
      </c>
      <c r="G143" s="5">
        <v>1501.9</v>
      </c>
      <c r="H143" s="5">
        <v>1501.9</v>
      </c>
      <c r="I143" s="5">
        <v>1467.7</v>
      </c>
      <c r="J143" s="5">
        <v>1500.1</v>
      </c>
      <c r="K143" s="5">
        <v>1469</v>
      </c>
      <c r="L143" s="5">
        <v>1469.6</v>
      </c>
      <c r="M143" s="5">
        <v>1479.78</v>
      </c>
      <c r="N143" s="5">
        <v>2006.45</v>
      </c>
      <c r="O143" s="5">
        <v>1307</v>
      </c>
      <c r="P143" s="5">
        <v>8169075</v>
      </c>
      <c r="Q143" s="5">
        <v>180969</v>
      </c>
    </row>
    <row r="144" spans="1:17" x14ac:dyDescent="0.25">
      <c r="A144" s="3">
        <v>45901</v>
      </c>
      <c r="B144" s="4" t="s">
        <v>17</v>
      </c>
      <c r="C144" s="5" t="str">
        <f t="shared" si="0"/>
        <v>Monday</v>
      </c>
      <c r="D144" s="5" t="str">
        <f t="shared" si="1"/>
        <v>September</v>
      </c>
      <c r="E144" s="5" t="str">
        <f t="shared" si="2"/>
        <v>2025</v>
      </c>
      <c r="F144" s="5" t="str">
        <f t="shared" si="3"/>
        <v>Q3</v>
      </c>
      <c r="G144" s="5">
        <v>1476.7</v>
      </c>
      <c r="H144" s="5">
        <v>1503.4</v>
      </c>
      <c r="I144" s="5">
        <v>1476.2</v>
      </c>
      <c r="J144" s="5">
        <v>1469.6</v>
      </c>
      <c r="K144" s="5">
        <v>1500.6</v>
      </c>
      <c r="L144" s="5">
        <v>1499.4</v>
      </c>
      <c r="M144" s="5">
        <v>1497.49</v>
      </c>
      <c r="N144" s="5">
        <v>2006.45</v>
      </c>
      <c r="O144" s="5">
        <v>1307</v>
      </c>
      <c r="P144" s="5">
        <v>4546057</v>
      </c>
      <c r="Q144" s="5">
        <v>251323</v>
      </c>
    </row>
    <row r="145" spans="1:17" x14ac:dyDescent="0.25">
      <c r="A145" s="3">
        <v>45902</v>
      </c>
      <c r="B145" s="4" t="s">
        <v>17</v>
      </c>
      <c r="C145" s="5" t="str">
        <f t="shared" si="0"/>
        <v>Tuesday</v>
      </c>
      <c r="D145" s="5" t="str">
        <f t="shared" si="1"/>
        <v>September</v>
      </c>
      <c r="E145" s="5" t="str">
        <f t="shared" si="2"/>
        <v>2025</v>
      </c>
      <c r="F145" s="5" t="str">
        <f t="shared" si="3"/>
        <v>Q3</v>
      </c>
      <c r="G145" s="5">
        <v>1499.4</v>
      </c>
      <c r="H145" s="5">
        <v>1512.8</v>
      </c>
      <c r="I145" s="5">
        <v>1486.3</v>
      </c>
      <c r="J145" s="5">
        <v>1499.4</v>
      </c>
      <c r="K145" s="5">
        <v>1494</v>
      </c>
      <c r="L145" s="5">
        <v>1498.7</v>
      </c>
      <c r="M145" s="5">
        <v>1501.52</v>
      </c>
      <c r="N145" s="5">
        <v>2006.45</v>
      </c>
      <c r="O145" s="5">
        <v>1307</v>
      </c>
      <c r="P145" s="5">
        <v>5218763</v>
      </c>
      <c r="Q145" s="5">
        <v>230255</v>
      </c>
    </row>
    <row r="146" spans="1:17" x14ac:dyDescent="0.25">
      <c r="A146" s="3">
        <v>45903</v>
      </c>
      <c r="B146" s="4" t="s">
        <v>17</v>
      </c>
      <c r="C146" s="5" t="str">
        <f t="shared" si="0"/>
        <v>Wednesday</v>
      </c>
      <c r="D146" s="5" t="str">
        <f t="shared" si="1"/>
        <v>September</v>
      </c>
      <c r="E146" s="5" t="str">
        <f t="shared" si="2"/>
        <v>2025</v>
      </c>
      <c r="F146" s="5" t="str">
        <f t="shared" si="3"/>
        <v>Q3</v>
      </c>
      <c r="G146" s="5">
        <v>1500</v>
      </c>
      <c r="H146" s="5">
        <v>1501.9</v>
      </c>
      <c r="I146" s="5">
        <v>1473</v>
      </c>
      <c r="J146" s="5">
        <v>1498.7</v>
      </c>
      <c r="K146" s="5">
        <v>1480</v>
      </c>
      <c r="L146" s="5">
        <v>1479.1</v>
      </c>
      <c r="M146" s="5">
        <v>1479.49</v>
      </c>
      <c r="N146" s="5">
        <v>2006.45</v>
      </c>
      <c r="O146" s="5">
        <v>1307</v>
      </c>
      <c r="P146" s="5">
        <v>4623483</v>
      </c>
      <c r="Q146" s="5">
        <v>194968</v>
      </c>
    </row>
    <row r="147" spans="1:17" x14ac:dyDescent="0.25">
      <c r="A147" s="3">
        <v>45904</v>
      </c>
      <c r="B147" s="4" t="s">
        <v>17</v>
      </c>
      <c r="C147" s="5" t="str">
        <f t="shared" si="0"/>
        <v>Thursday</v>
      </c>
      <c r="D147" s="5" t="str">
        <f t="shared" si="1"/>
        <v>September</v>
      </c>
      <c r="E147" s="5" t="str">
        <f t="shared" si="2"/>
        <v>2025</v>
      </c>
      <c r="F147" s="5" t="str">
        <f t="shared" si="3"/>
        <v>Q3</v>
      </c>
      <c r="G147" s="5">
        <v>1484</v>
      </c>
      <c r="H147" s="5">
        <v>1484</v>
      </c>
      <c r="I147" s="5">
        <v>1460.1</v>
      </c>
      <c r="J147" s="5">
        <v>1479.1</v>
      </c>
      <c r="K147" s="5">
        <v>1461.5</v>
      </c>
      <c r="L147" s="5">
        <v>1463</v>
      </c>
      <c r="M147" s="5">
        <v>1469.07</v>
      </c>
      <c r="N147" s="5">
        <v>2006.45</v>
      </c>
      <c r="O147" s="5">
        <v>1307</v>
      </c>
      <c r="P147" s="5">
        <v>5787724</v>
      </c>
      <c r="Q147" s="5">
        <v>187871</v>
      </c>
    </row>
    <row r="148" spans="1:17" x14ac:dyDescent="0.25">
      <c r="A148" s="3">
        <v>45905</v>
      </c>
      <c r="B148" s="4" t="s">
        <v>17</v>
      </c>
      <c r="C148" s="5" t="str">
        <f t="shared" si="0"/>
        <v>Friday</v>
      </c>
      <c r="D148" s="5" t="str">
        <f t="shared" si="1"/>
        <v>September</v>
      </c>
      <c r="E148" s="5" t="str">
        <f t="shared" si="2"/>
        <v>2025</v>
      </c>
      <c r="F148" s="5" t="str">
        <f t="shared" si="3"/>
        <v>Q3</v>
      </c>
      <c r="G148" s="5">
        <v>1470</v>
      </c>
      <c r="H148" s="5">
        <v>1472.7</v>
      </c>
      <c r="I148" s="5">
        <v>1433</v>
      </c>
      <c r="J148" s="5">
        <v>1463</v>
      </c>
      <c r="K148" s="5">
        <v>1446</v>
      </c>
      <c r="L148" s="5">
        <v>1444.6</v>
      </c>
      <c r="M148" s="5">
        <v>1445.24</v>
      </c>
      <c r="N148" s="5">
        <v>2006.45</v>
      </c>
      <c r="O148" s="5">
        <v>1307</v>
      </c>
      <c r="P148" s="5">
        <v>5466487</v>
      </c>
      <c r="Q148" s="5">
        <v>166130</v>
      </c>
    </row>
    <row r="149" spans="1:17" x14ac:dyDescent="0.25">
      <c r="A149" s="3">
        <v>45908</v>
      </c>
      <c r="B149" s="4" t="s">
        <v>17</v>
      </c>
      <c r="C149" s="5" t="str">
        <f t="shared" si="0"/>
        <v>Monday</v>
      </c>
      <c r="D149" s="5" t="str">
        <f t="shared" si="1"/>
        <v>September</v>
      </c>
      <c r="E149" s="5" t="str">
        <f t="shared" si="2"/>
        <v>2025</v>
      </c>
      <c r="F149" s="5" t="str">
        <f t="shared" si="3"/>
        <v>Q3</v>
      </c>
      <c r="G149" s="5">
        <v>1451</v>
      </c>
      <c r="H149" s="5">
        <v>1458</v>
      </c>
      <c r="I149" s="5">
        <v>1428.3</v>
      </c>
      <c r="J149" s="5">
        <v>1444.6</v>
      </c>
      <c r="K149" s="5">
        <v>1436.1</v>
      </c>
      <c r="L149" s="5">
        <v>1432.9</v>
      </c>
      <c r="M149" s="5">
        <v>1436.94</v>
      </c>
      <c r="N149" s="5">
        <v>2006.45</v>
      </c>
      <c r="O149" s="5">
        <v>1307</v>
      </c>
      <c r="P149" s="5">
        <v>3811567</v>
      </c>
      <c r="Q149" s="5">
        <v>151828</v>
      </c>
    </row>
    <row r="150" spans="1:17" x14ac:dyDescent="0.25">
      <c r="A150" s="3">
        <v>45909</v>
      </c>
      <c r="B150" s="4" t="s">
        <v>17</v>
      </c>
      <c r="C150" s="5" t="str">
        <f t="shared" si="0"/>
        <v>Tuesday</v>
      </c>
      <c r="D150" s="5" t="str">
        <f t="shared" si="1"/>
        <v>September</v>
      </c>
      <c r="E150" s="5" t="str">
        <f t="shared" si="2"/>
        <v>2025</v>
      </c>
      <c r="F150" s="5" t="str">
        <f t="shared" si="3"/>
        <v>Q3</v>
      </c>
      <c r="G150" s="5">
        <v>1481</v>
      </c>
      <c r="H150" s="5">
        <v>1507.2</v>
      </c>
      <c r="I150" s="5">
        <v>1472.5</v>
      </c>
      <c r="J150" s="5">
        <v>1432.9</v>
      </c>
      <c r="K150" s="5">
        <v>1502.4</v>
      </c>
      <c r="L150" s="5">
        <v>1504.3</v>
      </c>
      <c r="M150" s="5">
        <v>1495.04</v>
      </c>
      <c r="N150" s="5">
        <v>2006.45</v>
      </c>
      <c r="O150" s="5">
        <v>1307</v>
      </c>
      <c r="P150" s="5">
        <v>13072640</v>
      </c>
      <c r="Q150" s="5">
        <v>302959</v>
      </c>
    </row>
    <row r="151" spans="1:17" x14ac:dyDescent="0.25">
      <c r="A151" s="6">
        <v>45910</v>
      </c>
      <c r="B151" s="4" t="s">
        <v>17</v>
      </c>
      <c r="C151" s="5" t="str">
        <f t="shared" si="0"/>
        <v>Wednesday</v>
      </c>
      <c r="D151" s="5" t="str">
        <f t="shared" si="1"/>
        <v>September</v>
      </c>
      <c r="E151" s="5" t="str">
        <f t="shared" si="2"/>
        <v>2025</v>
      </c>
      <c r="F151" s="5" t="str">
        <f t="shared" si="3"/>
        <v>Q3</v>
      </c>
      <c r="G151" s="5">
        <v>1510.1</v>
      </c>
      <c r="H151" s="5">
        <v>1534.9</v>
      </c>
      <c r="I151" s="5">
        <v>1509.3</v>
      </c>
      <c r="J151" s="5">
        <v>1504.3</v>
      </c>
      <c r="K151" s="5">
        <v>1532</v>
      </c>
      <c r="L151" s="5">
        <v>1532.6</v>
      </c>
      <c r="M151" s="5">
        <v>1528.49</v>
      </c>
      <c r="N151" s="5">
        <v>2006.45</v>
      </c>
      <c r="O151" s="5">
        <v>1307</v>
      </c>
      <c r="P151" s="5">
        <v>7281071</v>
      </c>
      <c r="Q151" s="5">
        <v>209861</v>
      </c>
    </row>
    <row r="152" spans="1:17" x14ac:dyDescent="0.25">
      <c r="A152" s="6">
        <v>45911</v>
      </c>
      <c r="B152" s="4" t="s">
        <v>17</v>
      </c>
      <c r="C152" s="5" t="str">
        <f t="shared" si="0"/>
        <v>Thursday</v>
      </c>
      <c r="D152" s="5" t="str">
        <f t="shared" si="1"/>
        <v>September</v>
      </c>
      <c r="E152" s="5" t="str">
        <f t="shared" si="2"/>
        <v>2025</v>
      </c>
      <c r="F152" s="5" t="str">
        <f t="shared" si="3"/>
        <v>Q3</v>
      </c>
      <c r="G152" s="5">
        <v>1523.9</v>
      </c>
      <c r="H152" s="5">
        <v>1527.5</v>
      </c>
      <c r="I152" s="5">
        <v>1506.5</v>
      </c>
      <c r="J152" s="5">
        <v>1532.6</v>
      </c>
      <c r="K152" s="5">
        <v>1512.2</v>
      </c>
      <c r="L152" s="5">
        <v>1509.7</v>
      </c>
      <c r="M152" s="5">
        <v>1512.35</v>
      </c>
      <c r="N152" s="5">
        <v>2006.45</v>
      </c>
      <c r="O152" s="5">
        <v>1307</v>
      </c>
      <c r="P152" s="5">
        <v>8003662</v>
      </c>
      <c r="Q152" s="5">
        <v>225605</v>
      </c>
    </row>
    <row r="153" spans="1:17" x14ac:dyDescent="0.25">
      <c r="A153" s="6">
        <v>45912</v>
      </c>
      <c r="B153" s="4" t="s">
        <v>17</v>
      </c>
      <c r="C153" s="5" t="str">
        <f t="shared" si="0"/>
        <v>Friday</v>
      </c>
      <c r="D153" s="5" t="str">
        <f t="shared" si="1"/>
        <v>September</v>
      </c>
      <c r="E153" s="5" t="str">
        <f t="shared" si="2"/>
        <v>2025</v>
      </c>
      <c r="F153" s="5" t="str">
        <f t="shared" si="3"/>
        <v>Q3</v>
      </c>
      <c r="G153" s="5">
        <v>1537</v>
      </c>
      <c r="H153" s="5">
        <v>1542.9</v>
      </c>
      <c r="I153" s="5">
        <v>1521.1</v>
      </c>
      <c r="J153" s="5">
        <v>1509.7</v>
      </c>
      <c r="K153" s="5">
        <v>1524.1</v>
      </c>
      <c r="L153" s="5">
        <v>1525.6</v>
      </c>
      <c r="M153" s="5">
        <v>1529.87</v>
      </c>
      <c r="N153" s="5">
        <v>2006.45</v>
      </c>
      <c r="O153" s="5">
        <v>1307</v>
      </c>
      <c r="P153" s="5">
        <v>12856963</v>
      </c>
      <c r="Q153" s="5">
        <v>332492</v>
      </c>
    </row>
    <row r="154" spans="1:17" x14ac:dyDescent="0.25">
      <c r="A154" s="6">
        <v>45915</v>
      </c>
      <c r="B154" s="4" t="s">
        <v>17</v>
      </c>
      <c r="C154" s="5" t="str">
        <f t="shared" si="0"/>
        <v>Monday</v>
      </c>
      <c r="D154" s="5" t="str">
        <f t="shared" si="1"/>
        <v>September</v>
      </c>
      <c r="E154" s="5" t="str">
        <f t="shared" si="2"/>
        <v>2025</v>
      </c>
      <c r="F154" s="5" t="str">
        <f t="shared" si="3"/>
        <v>Q3</v>
      </c>
      <c r="G154" s="5">
        <v>1525.6</v>
      </c>
      <c r="H154" s="5">
        <v>1527.5</v>
      </c>
      <c r="I154" s="5">
        <v>1501.2</v>
      </c>
      <c r="J154" s="5">
        <v>1525.6</v>
      </c>
      <c r="K154" s="5">
        <v>1508.5</v>
      </c>
      <c r="L154" s="5">
        <v>1508.4</v>
      </c>
      <c r="M154" s="5">
        <v>1509.78</v>
      </c>
      <c r="N154" s="5">
        <v>2006.45</v>
      </c>
      <c r="O154" s="5">
        <v>1307</v>
      </c>
      <c r="P154" s="5">
        <v>6167414</v>
      </c>
      <c r="Q154" s="5">
        <v>173954</v>
      </c>
    </row>
    <row r="155" spans="1:17" x14ac:dyDescent="0.25">
      <c r="A155" s="6">
        <v>45916</v>
      </c>
      <c r="B155" s="4" t="s">
        <v>17</v>
      </c>
      <c r="C155" s="5" t="str">
        <f t="shared" si="0"/>
        <v>Tuesday</v>
      </c>
      <c r="D155" s="5" t="str">
        <f t="shared" si="1"/>
        <v>September</v>
      </c>
      <c r="E155" s="5" t="str">
        <f t="shared" si="2"/>
        <v>2025</v>
      </c>
      <c r="F155" s="5" t="str">
        <f t="shared" si="3"/>
        <v>Q3</v>
      </c>
      <c r="G155" s="5">
        <v>1508.4</v>
      </c>
      <c r="H155" s="5">
        <v>1514</v>
      </c>
      <c r="I155" s="5">
        <v>1503.5</v>
      </c>
      <c r="J155" s="5">
        <v>1508.4</v>
      </c>
      <c r="K155" s="5">
        <v>1513.5</v>
      </c>
      <c r="L155" s="5">
        <v>1511.3</v>
      </c>
      <c r="M155" s="5">
        <v>1507.82</v>
      </c>
      <c r="N155" s="5">
        <v>2006.45</v>
      </c>
      <c r="O155" s="5">
        <v>1307</v>
      </c>
      <c r="P155" s="5">
        <v>8923112</v>
      </c>
      <c r="Q155" s="5">
        <v>202258</v>
      </c>
    </row>
    <row r="156" spans="1:17" x14ac:dyDescent="0.25">
      <c r="A156" s="6">
        <v>45917</v>
      </c>
      <c r="B156" s="4" t="s">
        <v>17</v>
      </c>
      <c r="C156" s="5" t="str">
        <f t="shared" si="0"/>
        <v>Wednesday</v>
      </c>
      <c r="D156" s="5" t="str">
        <f t="shared" si="1"/>
        <v>September</v>
      </c>
      <c r="E156" s="5" t="str">
        <f t="shared" si="2"/>
        <v>2025</v>
      </c>
      <c r="F156" s="5" t="str">
        <f t="shared" si="3"/>
        <v>Q3</v>
      </c>
      <c r="G156" s="5">
        <v>1516.9</v>
      </c>
      <c r="H156" s="5">
        <v>1526.7</v>
      </c>
      <c r="I156" s="5">
        <v>1514</v>
      </c>
      <c r="J156" s="5">
        <v>1511.3</v>
      </c>
      <c r="K156" s="5">
        <v>1521.5</v>
      </c>
      <c r="L156" s="5">
        <v>1522.4</v>
      </c>
      <c r="M156" s="5">
        <v>1521.42</v>
      </c>
      <c r="N156" s="5">
        <v>2006.45</v>
      </c>
      <c r="O156" s="5">
        <v>1307</v>
      </c>
      <c r="P156" s="5">
        <v>4795698</v>
      </c>
      <c r="Q156" s="5">
        <v>137197</v>
      </c>
    </row>
    <row r="157" spans="1:17" x14ac:dyDescent="0.25">
      <c r="A157" s="6">
        <v>45918</v>
      </c>
      <c r="B157" s="4" t="s">
        <v>17</v>
      </c>
      <c r="C157" s="5" t="str">
        <f t="shared" si="0"/>
        <v>Thursday</v>
      </c>
      <c r="D157" s="5" t="str">
        <f t="shared" si="1"/>
        <v>September</v>
      </c>
      <c r="E157" s="5" t="str">
        <f t="shared" si="2"/>
        <v>2025</v>
      </c>
      <c r="F157" s="5" t="str">
        <f t="shared" si="3"/>
        <v>Q3</v>
      </c>
      <c r="G157" s="5">
        <v>1550</v>
      </c>
      <c r="H157" s="5">
        <v>1555</v>
      </c>
      <c r="I157" s="5">
        <v>1538.5</v>
      </c>
      <c r="J157" s="5">
        <v>1522.4</v>
      </c>
      <c r="K157" s="5">
        <v>1541.1</v>
      </c>
      <c r="L157" s="5">
        <v>1540.6</v>
      </c>
      <c r="M157" s="5">
        <v>1545.13</v>
      </c>
      <c r="N157" s="5">
        <v>2006.45</v>
      </c>
      <c r="O157" s="5">
        <v>1307</v>
      </c>
      <c r="P157" s="5">
        <v>9331945</v>
      </c>
      <c r="Q157" s="5">
        <v>341731</v>
      </c>
    </row>
    <row r="158" spans="1:17" x14ac:dyDescent="0.25">
      <c r="A158" s="6">
        <v>45919</v>
      </c>
      <c r="B158" s="4" t="s">
        <v>17</v>
      </c>
      <c r="C158" s="5" t="str">
        <f t="shared" si="0"/>
        <v>Friday</v>
      </c>
      <c r="D158" s="5" t="str">
        <f t="shared" si="1"/>
        <v>September</v>
      </c>
      <c r="E158" s="5" t="str">
        <f t="shared" si="2"/>
        <v>2025</v>
      </c>
      <c r="F158" s="5" t="str">
        <f t="shared" si="3"/>
        <v>Q3</v>
      </c>
      <c r="G158" s="5">
        <v>1544.6</v>
      </c>
      <c r="H158" s="5">
        <v>1551.3</v>
      </c>
      <c r="I158" s="5">
        <v>1520.1</v>
      </c>
      <c r="J158" s="5">
        <v>1540.6</v>
      </c>
      <c r="K158" s="5">
        <v>1543.9</v>
      </c>
      <c r="L158" s="5">
        <v>1540.2</v>
      </c>
      <c r="M158" s="5">
        <v>1536.05</v>
      </c>
      <c r="N158" s="5">
        <v>2006.45</v>
      </c>
      <c r="O158" s="5">
        <v>1307</v>
      </c>
      <c r="P158" s="5">
        <v>12988129</v>
      </c>
      <c r="Q158" s="5">
        <v>152059</v>
      </c>
    </row>
    <row r="159" spans="1:17" x14ac:dyDescent="0.25">
      <c r="A159" s="6">
        <v>45922</v>
      </c>
      <c r="B159" s="4" t="s">
        <v>17</v>
      </c>
      <c r="C159" s="5" t="str">
        <f t="shared" si="0"/>
        <v>Monday</v>
      </c>
      <c r="D159" s="5" t="str">
        <f t="shared" si="1"/>
        <v>September</v>
      </c>
      <c r="E159" s="5" t="str">
        <f t="shared" si="2"/>
        <v>2025</v>
      </c>
      <c r="F159" s="5" t="str">
        <f t="shared" si="3"/>
        <v>Q3</v>
      </c>
      <c r="G159" s="5">
        <v>1482.7</v>
      </c>
      <c r="H159" s="5">
        <v>1514.7</v>
      </c>
      <c r="I159" s="5">
        <v>1482</v>
      </c>
      <c r="J159" s="5">
        <v>1540.2</v>
      </c>
      <c r="K159" s="5">
        <v>1500.9</v>
      </c>
      <c r="L159" s="5">
        <v>1499.5</v>
      </c>
      <c r="M159" s="5">
        <v>1499.71</v>
      </c>
      <c r="N159" s="5">
        <v>2006.45</v>
      </c>
      <c r="O159" s="5">
        <v>1307</v>
      </c>
      <c r="P159" s="5">
        <v>15655204</v>
      </c>
      <c r="Q159" s="5">
        <v>436891</v>
      </c>
    </row>
    <row r="160" spans="1:17" x14ac:dyDescent="0.25">
      <c r="A160" s="6">
        <v>45923</v>
      </c>
      <c r="B160" s="4" t="s">
        <v>17</v>
      </c>
      <c r="C160" s="5" t="str">
        <f t="shared" si="0"/>
        <v>Tuesday</v>
      </c>
      <c r="D160" s="5" t="str">
        <f t="shared" si="1"/>
        <v>September</v>
      </c>
      <c r="E160" s="5" t="str">
        <f t="shared" si="2"/>
        <v>2025</v>
      </c>
      <c r="F160" s="5" t="str">
        <f t="shared" si="3"/>
        <v>Q3</v>
      </c>
      <c r="G160" s="5">
        <v>1493</v>
      </c>
      <c r="H160" s="5">
        <v>1513</v>
      </c>
      <c r="I160" s="5">
        <v>1493</v>
      </c>
      <c r="J160" s="5">
        <v>1499.5</v>
      </c>
      <c r="K160" s="5">
        <v>1500.6</v>
      </c>
      <c r="L160" s="5">
        <v>1497.5</v>
      </c>
      <c r="M160" s="5">
        <v>1500.6</v>
      </c>
      <c r="N160" s="5">
        <v>2006.45</v>
      </c>
      <c r="O160" s="5">
        <v>1307</v>
      </c>
      <c r="P160" s="5">
        <v>9832164</v>
      </c>
      <c r="Q160" s="5">
        <v>164451</v>
      </c>
    </row>
    <row r="161" spans="1:17" x14ac:dyDescent="0.25">
      <c r="A161" s="6">
        <v>45924</v>
      </c>
      <c r="B161" s="4" t="s">
        <v>17</v>
      </c>
      <c r="C161" s="5" t="str">
        <f t="shared" si="0"/>
        <v>Wednesday</v>
      </c>
      <c r="D161" s="5" t="str">
        <f t="shared" si="1"/>
        <v>September</v>
      </c>
      <c r="E161" s="5" t="str">
        <f t="shared" si="2"/>
        <v>2025</v>
      </c>
      <c r="F161" s="5" t="str">
        <f t="shared" si="3"/>
        <v>Q3</v>
      </c>
      <c r="G161" s="5">
        <v>1487.2</v>
      </c>
      <c r="H161" s="5">
        <v>1496.7</v>
      </c>
      <c r="I161" s="5">
        <v>1482.7</v>
      </c>
      <c r="J161" s="5">
        <v>1497.5</v>
      </c>
      <c r="K161" s="5">
        <v>1494.9</v>
      </c>
      <c r="L161" s="5">
        <v>1494.6</v>
      </c>
      <c r="M161" s="5">
        <v>1490.99</v>
      </c>
      <c r="N161" s="5">
        <v>2006.45</v>
      </c>
      <c r="O161" s="5">
        <v>1307</v>
      </c>
      <c r="P161" s="5">
        <v>4937004</v>
      </c>
      <c r="Q161" s="5">
        <v>143787</v>
      </c>
    </row>
    <row r="162" spans="1:17" x14ac:dyDescent="0.25">
      <c r="A162" s="6">
        <v>45925</v>
      </c>
      <c r="B162" s="4" t="s">
        <v>17</v>
      </c>
      <c r="C162" s="5" t="str">
        <f t="shared" si="0"/>
        <v>Thursday</v>
      </c>
      <c r="D162" s="5" t="str">
        <f t="shared" si="1"/>
        <v>September</v>
      </c>
      <c r="E162" s="5" t="str">
        <f t="shared" si="2"/>
        <v>2025</v>
      </c>
      <c r="F162" s="5" t="str">
        <f t="shared" si="3"/>
        <v>Q3</v>
      </c>
      <c r="G162" s="5">
        <v>1489</v>
      </c>
      <c r="H162" s="5">
        <v>1502.7</v>
      </c>
      <c r="I162" s="5">
        <v>1476.5</v>
      </c>
      <c r="J162" s="5">
        <v>1494.6</v>
      </c>
      <c r="K162" s="5">
        <v>1491.2</v>
      </c>
      <c r="L162" s="5">
        <v>1484.8</v>
      </c>
      <c r="M162" s="5">
        <v>1487.92</v>
      </c>
      <c r="N162" s="5">
        <v>2006.45</v>
      </c>
      <c r="O162" s="5">
        <v>1307</v>
      </c>
      <c r="P162" s="5">
        <v>9491867</v>
      </c>
      <c r="Q162" s="5">
        <v>185456</v>
      </c>
    </row>
    <row r="163" spans="1:17" x14ac:dyDescent="0.25">
      <c r="A163" s="6">
        <v>45926</v>
      </c>
      <c r="B163" s="4" t="s">
        <v>17</v>
      </c>
      <c r="C163" s="5" t="str">
        <f t="shared" si="0"/>
        <v>Friday</v>
      </c>
      <c r="D163" s="5" t="str">
        <f t="shared" si="1"/>
        <v>September</v>
      </c>
      <c r="E163" s="5" t="str">
        <f t="shared" si="2"/>
        <v>2025</v>
      </c>
      <c r="F163" s="5" t="str">
        <f t="shared" si="3"/>
        <v>Q3</v>
      </c>
      <c r="G163" s="5">
        <v>1475</v>
      </c>
      <c r="H163" s="5">
        <v>1478.7</v>
      </c>
      <c r="I163" s="5">
        <v>1441.2</v>
      </c>
      <c r="J163" s="5">
        <v>1484.8</v>
      </c>
      <c r="K163" s="5">
        <v>1452.2</v>
      </c>
      <c r="L163" s="5">
        <v>1448.9</v>
      </c>
      <c r="M163" s="5">
        <v>1457.7</v>
      </c>
      <c r="N163" s="5">
        <v>2006.45</v>
      </c>
      <c r="O163" s="5">
        <v>1307</v>
      </c>
      <c r="P163" s="5">
        <v>8597058</v>
      </c>
      <c r="Q163" s="5">
        <v>445150</v>
      </c>
    </row>
    <row r="164" spans="1:17" x14ac:dyDescent="0.25">
      <c r="A164" s="6">
        <v>45929</v>
      </c>
      <c r="B164" s="4" t="s">
        <v>17</v>
      </c>
      <c r="C164" s="5" t="str">
        <f t="shared" si="0"/>
        <v>Monday</v>
      </c>
      <c r="D164" s="5" t="str">
        <f t="shared" si="1"/>
        <v>September</v>
      </c>
      <c r="E164" s="5" t="str">
        <f t="shared" si="2"/>
        <v>2025</v>
      </c>
      <c r="F164" s="5" t="str">
        <f t="shared" si="3"/>
        <v>Q3</v>
      </c>
      <c r="G164" s="5">
        <v>1460</v>
      </c>
      <c r="H164" s="5">
        <v>1465</v>
      </c>
      <c r="I164" s="5">
        <v>1436.5</v>
      </c>
      <c r="J164" s="5">
        <v>1448.9</v>
      </c>
      <c r="K164" s="5">
        <v>1449.2</v>
      </c>
      <c r="L164" s="5">
        <v>1441.8</v>
      </c>
      <c r="M164" s="5">
        <v>1447.06</v>
      </c>
      <c r="N164" s="5">
        <v>2006.45</v>
      </c>
      <c r="O164" s="5">
        <v>1307</v>
      </c>
      <c r="P164" s="5">
        <v>10513117</v>
      </c>
      <c r="Q164" s="5">
        <v>181113</v>
      </c>
    </row>
    <row r="165" spans="1:17" x14ac:dyDescent="0.25">
      <c r="A165" s="6">
        <v>45930</v>
      </c>
      <c r="B165" s="4" t="s">
        <v>17</v>
      </c>
      <c r="C165" s="5" t="str">
        <f t="shared" si="0"/>
        <v>Tuesday</v>
      </c>
      <c r="D165" s="5" t="str">
        <f t="shared" si="1"/>
        <v>September</v>
      </c>
      <c r="E165" s="5" t="str">
        <f t="shared" si="2"/>
        <v>2025</v>
      </c>
      <c r="F165" s="5" t="str">
        <f t="shared" si="3"/>
        <v>Q3</v>
      </c>
      <c r="G165" s="5">
        <v>1443</v>
      </c>
      <c r="H165" s="5">
        <v>1452.2</v>
      </c>
      <c r="I165" s="5">
        <v>1438.1</v>
      </c>
      <c r="J165" s="5">
        <v>1441.8</v>
      </c>
      <c r="K165" s="5">
        <v>1442.6</v>
      </c>
      <c r="L165" s="5">
        <v>1441.8</v>
      </c>
      <c r="M165" s="5">
        <v>1443.52</v>
      </c>
      <c r="N165" s="5">
        <v>2006.45</v>
      </c>
      <c r="O165" s="5">
        <v>1307</v>
      </c>
      <c r="P165" s="5">
        <v>7556305</v>
      </c>
      <c r="Q165" s="5">
        <v>247554</v>
      </c>
    </row>
    <row r="166" spans="1:17" x14ac:dyDescent="0.25">
      <c r="A166" s="3">
        <v>45931</v>
      </c>
      <c r="B166" s="4" t="s">
        <v>17</v>
      </c>
      <c r="C166" s="5" t="str">
        <f t="shared" si="0"/>
        <v>Wednesday</v>
      </c>
      <c r="D166" s="5" t="str">
        <f t="shared" si="1"/>
        <v>October</v>
      </c>
      <c r="E166" s="5" t="str">
        <f t="shared" si="2"/>
        <v>2025</v>
      </c>
      <c r="F166" s="5" t="str">
        <f t="shared" si="3"/>
        <v>Q4</v>
      </c>
      <c r="G166" s="5">
        <v>1446</v>
      </c>
      <c r="H166" s="5">
        <v>1449.5</v>
      </c>
      <c r="I166" s="5">
        <v>1427.4</v>
      </c>
      <c r="J166" s="5">
        <v>1441.8</v>
      </c>
      <c r="K166" s="5">
        <v>1447.9</v>
      </c>
      <c r="L166" s="5">
        <v>1445.8</v>
      </c>
      <c r="M166" s="5">
        <v>1439.54</v>
      </c>
      <c r="N166" s="5">
        <v>2006.45</v>
      </c>
      <c r="O166" s="5">
        <v>1307</v>
      </c>
      <c r="P166" s="5">
        <v>6250692</v>
      </c>
      <c r="Q166" s="5">
        <v>194062</v>
      </c>
    </row>
    <row r="167" spans="1:17" x14ac:dyDescent="0.25">
      <c r="A167" s="3">
        <v>45933</v>
      </c>
      <c r="B167" s="4" t="s">
        <v>17</v>
      </c>
      <c r="C167" s="5" t="str">
        <f t="shared" si="0"/>
        <v>Friday</v>
      </c>
      <c r="D167" s="5" t="str">
        <f t="shared" si="1"/>
        <v>October</v>
      </c>
      <c r="E167" s="5" t="str">
        <f t="shared" si="2"/>
        <v>2025</v>
      </c>
      <c r="F167" s="5" t="str">
        <f t="shared" si="3"/>
        <v>Q4</v>
      </c>
      <c r="G167" s="5">
        <v>1439</v>
      </c>
      <c r="H167" s="5">
        <v>1448.3</v>
      </c>
      <c r="I167" s="5">
        <v>1433.2</v>
      </c>
      <c r="J167" s="5">
        <v>1445.8</v>
      </c>
      <c r="K167" s="5">
        <v>1445.5</v>
      </c>
      <c r="L167" s="5">
        <v>1446.6</v>
      </c>
      <c r="M167" s="5">
        <v>1442.27</v>
      </c>
      <c r="N167" s="5">
        <v>2006.45</v>
      </c>
      <c r="O167" s="5">
        <v>1307</v>
      </c>
      <c r="P167" s="5">
        <v>6877533</v>
      </c>
      <c r="Q167" s="5">
        <v>156026</v>
      </c>
    </row>
    <row r="168" spans="1:17" x14ac:dyDescent="0.25">
      <c r="A168" s="3">
        <v>45936</v>
      </c>
      <c r="B168" s="4" t="s">
        <v>17</v>
      </c>
      <c r="C168" s="5" t="str">
        <f t="shared" si="0"/>
        <v>Monday</v>
      </c>
      <c r="D168" s="5" t="str">
        <f t="shared" si="1"/>
        <v>October</v>
      </c>
      <c r="E168" s="5" t="str">
        <f t="shared" si="2"/>
        <v>2025</v>
      </c>
      <c r="F168" s="5" t="str">
        <f t="shared" si="3"/>
        <v>Q4</v>
      </c>
      <c r="G168" s="5">
        <v>1446.6</v>
      </c>
      <c r="H168" s="5">
        <v>1478.8</v>
      </c>
      <c r="I168" s="5">
        <v>1442.3</v>
      </c>
      <c r="J168" s="5">
        <v>1446.6</v>
      </c>
      <c r="K168" s="5">
        <v>1474.9</v>
      </c>
      <c r="L168" s="5">
        <v>1476</v>
      </c>
      <c r="M168" s="5">
        <v>1465.66</v>
      </c>
      <c r="N168" s="5">
        <v>2006.45</v>
      </c>
      <c r="O168" s="5">
        <v>1307</v>
      </c>
      <c r="P168" s="5">
        <v>4630590</v>
      </c>
      <c r="Q168" s="5">
        <v>105537</v>
      </c>
    </row>
    <row r="169" spans="1:17" x14ac:dyDescent="0.25">
      <c r="A169" s="3">
        <v>45937</v>
      </c>
      <c r="B169" s="4" t="s">
        <v>17</v>
      </c>
      <c r="C169" s="5" t="str">
        <f t="shared" si="0"/>
        <v>Tuesday</v>
      </c>
      <c r="D169" s="5" t="str">
        <f t="shared" si="1"/>
        <v>October</v>
      </c>
      <c r="E169" s="5" t="str">
        <f t="shared" si="2"/>
        <v>2025</v>
      </c>
      <c r="F169" s="5" t="str">
        <f t="shared" si="3"/>
        <v>Q4</v>
      </c>
      <c r="G169" s="5">
        <v>1477.7</v>
      </c>
      <c r="H169" s="5">
        <v>1482.9</v>
      </c>
      <c r="I169" s="5">
        <v>1454</v>
      </c>
      <c r="J169" s="5">
        <v>1476</v>
      </c>
      <c r="K169" s="5">
        <v>1458.1</v>
      </c>
      <c r="L169" s="5">
        <v>1458.5</v>
      </c>
      <c r="M169" s="5">
        <v>1463.53</v>
      </c>
      <c r="N169" s="5">
        <v>2006.45</v>
      </c>
      <c r="O169" s="5">
        <v>1307</v>
      </c>
      <c r="P169" s="5">
        <v>5570320</v>
      </c>
      <c r="Q169" s="5">
        <v>171449</v>
      </c>
    </row>
    <row r="170" spans="1:17" x14ac:dyDescent="0.25">
      <c r="A170" s="3">
        <v>45938</v>
      </c>
      <c r="B170" s="4" t="s">
        <v>17</v>
      </c>
      <c r="C170" s="5" t="str">
        <f t="shared" si="0"/>
        <v>Wednesday</v>
      </c>
      <c r="D170" s="5" t="str">
        <f t="shared" si="1"/>
        <v>October</v>
      </c>
      <c r="E170" s="5" t="str">
        <f t="shared" si="2"/>
        <v>2025</v>
      </c>
      <c r="F170" s="5" t="str">
        <f t="shared" si="3"/>
        <v>Q4</v>
      </c>
      <c r="G170" s="5">
        <v>1457</v>
      </c>
      <c r="H170" s="5">
        <v>1498</v>
      </c>
      <c r="I170" s="5">
        <v>1455</v>
      </c>
      <c r="J170" s="5">
        <v>1458.5</v>
      </c>
      <c r="K170" s="5">
        <v>1492</v>
      </c>
      <c r="L170" s="5">
        <v>1495</v>
      </c>
      <c r="M170" s="5">
        <v>1489.22</v>
      </c>
      <c r="N170" s="5">
        <v>2006.45</v>
      </c>
      <c r="O170" s="5">
        <v>1307</v>
      </c>
      <c r="P170" s="5">
        <v>4657192</v>
      </c>
      <c r="Q170" s="5">
        <v>125936</v>
      </c>
    </row>
    <row r="171" spans="1:17" x14ac:dyDescent="0.25">
      <c r="A171" s="3">
        <v>45939</v>
      </c>
      <c r="B171" s="4" t="s">
        <v>17</v>
      </c>
      <c r="C171" s="5" t="str">
        <f t="shared" si="0"/>
        <v>Thursday</v>
      </c>
      <c r="D171" s="5" t="str">
        <f t="shared" si="1"/>
        <v>October</v>
      </c>
      <c r="E171" s="5" t="str">
        <f t="shared" si="2"/>
        <v>2025</v>
      </c>
      <c r="F171" s="5" t="str">
        <f t="shared" si="3"/>
        <v>Q4</v>
      </c>
      <c r="G171" s="5">
        <v>1502</v>
      </c>
      <c r="H171" s="5">
        <v>1514</v>
      </c>
      <c r="I171" s="5">
        <v>1487</v>
      </c>
      <c r="J171" s="5">
        <v>1495</v>
      </c>
      <c r="K171" s="5">
        <v>1509.7</v>
      </c>
      <c r="L171" s="5">
        <v>1509.3</v>
      </c>
      <c r="M171" s="5">
        <v>1504.17</v>
      </c>
      <c r="N171" s="5">
        <v>2006.45</v>
      </c>
      <c r="O171" s="5">
        <v>1307</v>
      </c>
      <c r="P171" s="5">
        <v>7028753</v>
      </c>
      <c r="Q171" s="5">
        <v>177885</v>
      </c>
    </row>
    <row r="172" spans="1:17" x14ac:dyDescent="0.25">
      <c r="A172" s="6">
        <v>45940</v>
      </c>
      <c r="B172" s="4" t="s">
        <v>17</v>
      </c>
      <c r="C172" s="5" t="str">
        <f t="shared" si="0"/>
        <v>Friday</v>
      </c>
      <c r="D172" s="5" t="str">
        <f t="shared" si="1"/>
        <v>October</v>
      </c>
      <c r="E172" s="5" t="str">
        <f t="shared" si="2"/>
        <v>2025</v>
      </c>
      <c r="F172" s="5" t="str">
        <f t="shared" si="3"/>
        <v>Q4</v>
      </c>
      <c r="G172" s="5">
        <v>1510</v>
      </c>
      <c r="H172" s="5">
        <v>1521.7</v>
      </c>
      <c r="I172" s="5">
        <v>1498.8</v>
      </c>
      <c r="J172" s="5">
        <v>1509.3</v>
      </c>
      <c r="K172" s="5">
        <v>1511.9</v>
      </c>
      <c r="L172" s="5">
        <v>1514.9</v>
      </c>
      <c r="M172" s="5">
        <v>1513.91</v>
      </c>
      <c r="N172" s="5">
        <v>2006.45</v>
      </c>
      <c r="O172" s="5">
        <v>1307</v>
      </c>
      <c r="P172" s="5">
        <v>3738353</v>
      </c>
      <c r="Q172" s="5">
        <v>112569</v>
      </c>
    </row>
    <row r="173" spans="1:17" x14ac:dyDescent="0.25">
      <c r="A173" s="6">
        <v>45943</v>
      </c>
      <c r="B173" s="4" t="s">
        <v>17</v>
      </c>
      <c r="C173" s="5" t="str">
        <f t="shared" si="0"/>
        <v>Monday</v>
      </c>
      <c r="D173" s="5" t="str">
        <f t="shared" si="1"/>
        <v>October</v>
      </c>
      <c r="E173" s="5" t="str">
        <f t="shared" si="2"/>
        <v>2025</v>
      </c>
      <c r="F173" s="5" t="str">
        <f t="shared" si="3"/>
        <v>Q4</v>
      </c>
      <c r="G173" s="5">
        <v>1497</v>
      </c>
      <c r="H173" s="5">
        <v>1504.7</v>
      </c>
      <c r="I173" s="5">
        <v>1483.4</v>
      </c>
      <c r="J173" s="5">
        <v>1514.9</v>
      </c>
      <c r="K173" s="5">
        <v>1492.4</v>
      </c>
      <c r="L173" s="5">
        <v>1493.2</v>
      </c>
      <c r="M173" s="5">
        <v>1492.35</v>
      </c>
      <c r="N173" s="5">
        <v>2006.45</v>
      </c>
      <c r="O173" s="5">
        <v>1307</v>
      </c>
      <c r="P173" s="5">
        <v>5859355</v>
      </c>
      <c r="Q173" s="5">
        <v>144645</v>
      </c>
    </row>
    <row r="174" spans="1:17" x14ac:dyDescent="0.25">
      <c r="A174" s="6">
        <v>45944</v>
      </c>
      <c r="B174" s="4" t="s">
        <v>17</v>
      </c>
      <c r="C174" s="5" t="str">
        <f t="shared" si="0"/>
        <v>Tuesday</v>
      </c>
      <c r="D174" s="5" t="str">
        <f t="shared" si="1"/>
        <v>October</v>
      </c>
      <c r="E174" s="5" t="str">
        <f t="shared" si="2"/>
        <v>2025</v>
      </c>
      <c r="F174" s="5" t="str">
        <f t="shared" si="3"/>
        <v>Q4</v>
      </c>
      <c r="G174" s="5">
        <v>1499</v>
      </c>
      <c r="H174" s="5">
        <v>1514.4</v>
      </c>
      <c r="I174" s="5">
        <v>1486.5</v>
      </c>
      <c r="J174" s="5">
        <v>1493.2</v>
      </c>
      <c r="K174" s="5">
        <v>1488</v>
      </c>
      <c r="L174" s="5">
        <v>1489.9</v>
      </c>
      <c r="M174" s="5">
        <v>1494.67</v>
      </c>
      <c r="N174" s="5">
        <v>2006.45</v>
      </c>
      <c r="O174" s="5">
        <v>1307</v>
      </c>
      <c r="P174" s="5">
        <v>5600789</v>
      </c>
      <c r="Q174" s="5">
        <v>136364</v>
      </c>
    </row>
    <row r="175" spans="1:17" x14ac:dyDescent="0.25">
      <c r="A175" s="6">
        <v>45945</v>
      </c>
      <c r="B175" s="4" t="s">
        <v>17</v>
      </c>
      <c r="C175" s="5" t="str">
        <f t="shared" si="0"/>
        <v>Wednesday</v>
      </c>
      <c r="D175" s="5" t="str">
        <f t="shared" si="1"/>
        <v>October</v>
      </c>
      <c r="E175" s="5" t="str">
        <f t="shared" si="2"/>
        <v>2025</v>
      </c>
      <c r="F175" s="5" t="str">
        <f t="shared" si="3"/>
        <v>Q4</v>
      </c>
      <c r="G175" s="5">
        <v>1483.9</v>
      </c>
      <c r="H175" s="5">
        <v>1488.6</v>
      </c>
      <c r="I175" s="5">
        <v>1467.5</v>
      </c>
      <c r="J175" s="5">
        <v>1489.9</v>
      </c>
      <c r="K175" s="5">
        <v>1474.4</v>
      </c>
      <c r="L175" s="5">
        <v>1474.4</v>
      </c>
      <c r="M175" s="5">
        <v>1475.22</v>
      </c>
      <c r="N175" s="5">
        <v>2006.45</v>
      </c>
      <c r="O175" s="5">
        <v>1307</v>
      </c>
      <c r="P175" s="5">
        <v>6986098</v>
      </c>
      <c r="Q175" s="5">
        <v>164747</v>
      </c>
    </row>
    <row r="176" spans="1:17" x14ac:dyDescent="0.25">
      <c r="A176" s="6">
        <v>45946</v>
      </c>
      <c r="B176" s="4" t="s">
        <v>17</v>
      </c>
      <c r="C176" s="5" t="str">
        <f t="shared" si="0"/>
        <v>Thursday</v>
      </c>
      <c r="D176" s="5" t="str">
        <f t="shared" si="1"/>
        <v>October</v>
      </c>
      <c r="E176" s="5" t="str">
        <f t="shared" si="2"/>
        <v>2025</v>
      </c>
      <c r="F176" s="5" t="str">
        <f t="shared" si="3"/>
        <v>Q4</v>
      </c>
      <c r="G176" s="5">
        <v>1473.9</v>
      </c>
      <c r="H176" s="5">
        <v>1474.5</v>
      </c>
      <c r="I176" s="5">
        <v>1460.5</v>
      </c>
      <c r="J176" s="5">
        <v>1474.4</v>
      </c>
      <c r="K176" s="5">
        <v>1470.9</v>
      </c>
      <c r="L176" s="5">
        <v>1471.5</v>
      </c>
      <c r="M176" s="5">
        <v>1468.35</v>
      </c>
      <c r="N176" s="5">
        <v>2006.45</v>
      </c>
      <c r="O176" s="5">
        <v>1307</v>
      </c>
      <c r="P176" s="5">
        <v>8005748</v>
      </c>
      <c r="Q176" s="5">
        <v>178279</v>
      </c>
    </row>
    <row r="177" spans="1:17" x14ac:dyDescent="0.25">
      <c r="A177" s="6">
        <v>45947</v>
      </c>
      <c r="B177" s="4" t="s">
        <v>17</v>
      </c>
      <c r="C177" s="5" t="str">
        <f t="shared" si="0"/>
        <v>Friday</v>
      </c>
      <c r="D177" s="5" t="str">
        <f t="shared" si="1"/>
        <v>October</v>
      </c>
      <c r="E177" s="5" t="str">
        <f t="shared" si="2"/>
        <v>2025</v>
      </c>
      <c r="F177" s="5" t="str">
        <f t="shared" si="3"/>
        <v>Q4</v>
      </c>
      <c r="G177" s="5">
        <v>1454.9</v>
      </c>
      <c r="H177" s="5">
        <v>1458.4</v>
      </c>
      <c r="I177" s="5">
        <v>1434</v>
      </c>
      <c r="J177" s="5">
        <v>1471.5</v>
      </c>
      <c r="K177" s="5">
        <v>1440.9</v>
      </c>
      <c r="L177" s="5">
        <v>1441.1</v>
      </c>
      <c r="M177" s="5">
        <v>1444.15</v>
      </c>
      <c r="N177" s="5">
        <v>2006.45</v>
      </c>
      <c r="O177" s="5">
        <v>1307</v>
      </c>
      <c r="P177" s="5">
        <v>16959378</v>
      </c>
      <c r="Q177" s="5">
        <v>408253</v>
      </c>
    </row>
    <row r="178" spans="1:17" x14ac:dyDescent="0.25">
      <c r="A178" s="6">
        <v>45950</v>
      </c>
      <c r="B178" s="4" t="s">
        <v>17</v>
      </c>
      <c r="C178" s="5" t="str">
        <f t="shared" si="0"/>
        <v>Monday</v>
      </c>
      <c r="D178" s="5" t="str">
        <f t="shared" si="1"/>
        <v>October</v>
      </c>
      <c r="E178" s="5" t="str">
        <f t="shared" si="2"/>
        <v>2025</v>
      </c>
      <c r="F178" s="5" t="str">
        <f t="shared" si="3"/>
        <v>Q4</v>
      </c>
      <c r="G178" s="5">
        <v>1453.7</v>
      </c>
      <c r="H178" s="5">
        <v>1467</v>
      </c>
      <c r="I178" s="5">
        <v>1450</v>
      </c>
      <c r="J178" s="5">
        <v>1441.1</v>
      </c>
      <c r="K178" s="5">
        <v>1462.7</v>
      </c>
      <c r="L178" s="5">
        <v>1460.9</v>
      </c>
      <c r="M178" s="5">
        <v>1460.15</v>
      </c>
      <c r="N178" s="5">
        <v>2006.45</v>
      </c>
      <c r="O178" s="5">
        <v>1307</v>
      </c>
      <c r="P178" s="5">
        <v>6994246</v>
      </c>
      <c r="Q178" s="5">
        <v>218283</v>
      </c>
    </row>
    <row r="179" spans="1:17" x14ac:dyDescent="0.25">
      <c r="A179" s="6">
        <v>45951</v>
      </c>
      <c r="B179" s="4" t="s">
        <v>17</v>
      </c>
      <c r="C179" s="5" t="str">
        <f t="shared" si="0"/>
        <v>Tuesday</v>
      </c>
      <c r="D179" s="5" t="str">
        <f t="shared" si="1"/>
        <v>October</v>
      </c>
      <c r="E179" s="5" t="str">
        <f t="shared" si="2"/>
        <v>2025</v>
      </c>
      <c r="F179" s="5" t="str">
        <f t="shared" si="3"/>
        <v>Q4</v>
      </c>
      <c r="G179" s="5">
        <v>1478</v>
      </c>
      <c r="H179" s="5">
        <v>1486</v>
      </c>
      <c r="I179" s="5">
        <v>1470</v>
      </c>
      <c r="J179" s="5">
        <v>1460.9</v>
      </c>
      <c r="K179" s="5">
        <v>1471</v>
      </c>
      <c r="L179" s="5">
        <v>1472.4</v>
      </c>
      <c r="M179" s="5">
        <v>1476.04</v>
      </c>
      <c r="N179" s="5">
        <v>2006.45</v>
      </c>
      <c r="O179" s="5">
        <v>1307</v>
      </c>
      <c r="P179" s="5">
        <v>1698704</v>
      </c>
      <c r="Q179" s="5">
        <v>42723</v>
      </c>
    </row>
    <row r="180" spans="1:17" x14ac:dyDescent="0.25">
      <c r="A180" s="6">
        <v>45953</v>
      </c>
      <c r="B180" s="4" t="s">
        <v>17</v>
      </c>
      <c r="C180" s="5" t="str">
        <f t="shared" si="0"/>
        <v>Thursday</v>
      </c>
      <c r="D180" s="5" t="str">
        <f t="shared" si="1"/>
        <v>October</v>
      </c>
      <c r="E180" s="5" t="str">
        <f t="shared" si="2"/>
        <v>2025</v>
      </c>
      <c r="F180" s="5" t="str">
        <f t="shared" si="3"/>
        <v>Q4</v>
      </c>
      <c r="G180" s="5">
        <v>1510</v>
      </c>
      <c r="H180" s="5">
        <v>1546</v>
      </c>
      <c r="I180" s="5">
        <v>1506</v>
      </c>
      <c r="J180" s="5">
        <v>1472.4</v>
      </c>
      <c r="K180" s="5">
        <v>1525</v>
      </c>
      <c r="L180" s="5">
        <v>1528.5</v>
      </c>
      <c r="M180" s="5">
        <v>1530.64</v>
      </c>
      <c r="N180" s="5">
        <v>2006.45</v>
      </c>
      <c r="O180" s="5">
        <v>1307</v>
      </c>
      <c r="P180" s="5">
        <v>20358624</v>
      </c>
      <c r="Q180" s="5">
        <v>458468</v>
      </c>
    </row>
    <row r="181" spans="1:17" x14ac:dyDescent="0.25">
      <c r="A181" s="6">
        <v>45954</v>
      </c>
      <c r="B181" s="4" t="s">
        <v>17</v>
      </c>
      <c r="C181" s="5" t="str">
        <f t="shared" si="0"/>
        <v>Friday</v>
      </c>
      <c r="D181" s="5" t="str">
        <f t="shared" si="1"/>
        <v>October</v>
      </c>
      <c r="E181" s="5" t="str">
        <f t="shared" si="2"/>
        <v>2025</v>
      </c>
      <c r="F181" s="5" t="str">
        <f t="shared" si="3"/>
        <v>Q4</v>
      </c>
      <c r="G181" s="5">
        <v>1539.5</v>
      </c>
      <c r="H181" s="5">
        <v>1543</v>
      </c>
      <c r="I181" s="5">
        <v>1518</v>
      </c>
      <c r="J181" s="5">
        <v>1528.5</v>
      </c>
      <c r="K181" s="5">
        <v>1523.9</v>
      </c>
      <c r="L181" s="5">
        <v>1525.4</v>
      </c>
      <c r="M181" s="5">
        <v>1525.75</v>
      </c>
      <c r="N181" s="5">
        <v>2006.45</v>
      </c>
      <c r="O181" s="5">
        <v>1307</v>
      </c>
      <c r="P181" s="5">
        <v>8652257</v>
      </c>
      <c r="Q181" s="5">
        <v>217512</v>
      </c>
    </row>
    <row r="182" spans="1:17" x14ac:dyDescent="0.25">
      <c r="A182" s="6">
        <v>45957</v>
      </c>
      <c r="B182" s="4" t="s">
        <v>17</v>
      </c>
      <c r="C182" s="5" t="str">
        <f t="shared" si="0"/>
        <v>Monday</v>
      </c>
      <c r="D182" s="5" t="str">
        <f t="shared" si="1"/>
        <v>October</v>
      </c>
      <c r="E182" s="5" t="str">
        <f t="shared" si="2"/>
        <v>2025</v>
      </c>
      <c r="F182" s="5" t="str">
        <f t="shared" si="3"/>
        <v>Q4</v>
      </c>
      <c r="G182" s="5">
        <v>1510</v>
      </c>
      <c r="H182" s="5">
        <v>1515.3</v>
      </c>
      <c r="I182" s="5">
        <v>1498.1</v>
      </c>
      <c r="J182" s="5">
        <v>1525.4</v>
      </c>
      <c r="K182" s="5">
        <v>1504.9</v>
      </c>
      <c r="L182" s="5">
        <v>1504.5</v>
      </c>
      <c r="M182" s="5">
        <v>1506.5</v>
      </c>
      <c r="N182" s="5">
        <v>2006.45</v>
      </c>
      <c r="O182" s="5">
        <v>1307</v>
      </c>
      <c r="P182" s="5">
        <v>7273211</v>
      </c>
      <c r="Q182" s="5">
        <v>131339</v>
      </c>
    </row>
    <row r="183" spans="1:17" x14ac:dyDescent="0.25">
      <c r="A183" s="6">
        <v>45958</v>
      </c>
      <c r="B183" s="4" t="s">
        <v>17</v>
      </c>
      <c r="C183" s="5" t="str">
        <f t="shared" si="0"/>
        <v>Tuesday</v>
      </c>
      <c r="D183" s="5" t="str">
        <f t="shared" si="1"/>
        <v>October</v>
      </c>
      <c r="E183" s="5" t="str">
        <f t="shared" si="2"/>
        <v>2025</v>
      </c>
      <c r="F183" s="5" t="str">
        <f t="shared" si="3"/>
        <v>Q4</v>
      </c>
      <c r="G183" s="5">
        <v>1499.7</v>
      </c>
      <c r="H183" s="5">
        <v>1506.5</v>
      </c>
      <c r="I183" s="5">
        <v>1490.5</v>
      </c>
      <c r="J183" s="5">
        <v>1504.5</v>
      </c>
      <c r="K183" s="5">
        <v>1502.2</v>
      </c>
      <c r="L183" s="5">
        <v>1500.2</v>
      </c>
      <c r="M183" s="5">
        <v>1497.66</v>
      </c>
      <c r="N183" s="5">
        <v>2006.45</v>
      </c>
      <c r="O183" s="5">
        <v>1307</v>
      </c>
      <c r="P183" s="5">
        <v>8211019</v>
      </c>
      <c r="Q183" s="5">
        <v>185479</v>
      </c>
    </row>
    <row r="184" spans="1:17" x14ac:dyDescent="0.25">
      <c r="A184" s="6">
        <v>45959</v>
      </c>
      <c r="B184" s="4" t="s">
        <v>17</v>
      </c>
      <c r="C184" s="5" t="str">
        <f t="shared" si="0"/>
        <v>Wednesday</v>
      </c>
      <c r="D184" s="5" t="str">
        <f t="shared" si="1"/>
        <v>October</v>
      </c>
      <c r="E184" s="5" t="str">
        <f t="shared" si="2"/>
        <v>2025</v>
      </c>
      <c r="F184" s="5" t="str">
        <f t="shared" si="3"/>
        <v>Q4</v>
      </c>
      <c r="G184" s="5">
        <v>1500.2</v>
      </c>
      <c r="H184" s="5">
        <v>1520.2</v>
      </c>
      <c r="I184" s="5">
        <v>1496.9</v>
      </c>
      <c r="J184" s="5">
        <v>1500.2</v>
      </c>
      <c r="K184" s="5">
        <v>1511.5</v>
      </c>
      <c r="L184" s="5">
        <v>1510.4</v>
      </c>
      <c r="M184" s="5">
        <v>1510.57</v>
      </c>
      <c r="N184" s="5">
        <v>2006.45</v>
      </c>
      <c r="O184" s="5">
        <v>1307</v>
      </c>
      <c r="P184" s="5">
        <v>4884976</v>
      </c>
      <c r="Q184" s="5">
        <v>177757</v>
      </c>
    </row>
    <row r="185" spans="1:17" x14ac:dyDescent="0.25">
      <c r="A185" s="6">
        <v>45960</v>
      </c>
      <c r="B185" s="4" t="s">
        <v>17</v>
      </c>
      <c r="C185" s="5" t="str">
        <f t="shared" si="0"/>
        <v>Thursday</v>
      </c>
      <c r="D185" s="5" t="str">
        <f t="shared" si="1"/>
        <v>October</v>
      </c>
      <c r="E185" s="5" t="str">
        <f t="shared" si="2"/>
        <v>2025</v>
      </c>
      <c r="F185" s="5" t="str">
        <f t="shared" si="3"/>
        <v>Q4</v>
      </c>
      <c r="G185" s="5">
        <v>1507</v>
      </c>
      <c r="H185" s="5">
        <v>1508.2</v>
      </c>
      <c r="I185" s="5">
        <v>1489.1</v>
      </c>
      <c r="J185" s="5">
        <v>1510.4</v>
      </c>
      <c r="K185" s="5">
        <v>1495</v>
      </c>
      <c r="L185" s="5">
        <v>1493.8</v>
      </c>
      <c r="M185" s="5">
        <v>1494.92</v>
      </c>
      <c r="N185" s="5">
        <v>2006.45</v>
      </c>
      <c r="O185" s="5">
        <v>1307</v>
      </c>
      <c r="P185" s="5">
        <v>5608867</v>
      </c>
      <c r="Q185" s="5">
        <v>158047</v>
      </c>
    </row>
    <row r="186" spans="1:17" x14ac:dyDescent="0.25">
      <c r="A186" s="6">
        <v>45961</v>
      </c>
      <c r="B186" s="4" t="s">
        <v>17</v>
      </c>
      <c r="C186" s="5" t="str">
        <f t="shared" si="0"/>
        <v>Friday</v>
      </c>
      <c r="D186" s="5" t="str">
        <f t="shared" si="1"/>
        <v>October</v>
      </c>
      <c r="E186" s="5" t="str">
        <f t="shared" si="2"/>
        <v>2025</v>
      </c>
      <c r="F186" s="5" t="str">
        <f t="shared" si="3"/>
        <v>Q4</v>
      </c>
      <c r="G186" s="5">
        <v>1490</v>
      </c>
      <c r="H186" s="5">
        <v>1497.1</v>
      </c>
      <c r="I186" s="5">
        <v>1480.7</v>
      </c>
      <c r="J186" s="5">
        <v>1493.8</v>
      </c>
      <c r="K186" s="5">
        <v>1481.9</v>
      </c>
      <c r="L186" s="5">
        <v>1482.3</v>
      </c>
      <c r="M186" s="5">
        <v>1485.71</v>
      </c>
      <c r="N186" s="5">
        <v>2006.45</v>
      </c>
      <c r="O186" s="5">
        <v>1307</v>
      </c>
      <c r="P186" s="5">
        <v>4819814</v>
      </c>
      <c r="Q186" s="5">
        <v>185234</v>
      </c>
    </row>
    <row r="187" spans="1:17" x14ac:dyDescent="0.25">
      <c r="A187" s="3">
        <v>45964</v>
      </c>
      <c r="B187" s="4" t="s">
        <v>17</v>
      </c>
      <c r="C187" s="5" t="str">
        <f t="shared" si="0"/>
        <v>Monday</v>
      </c>
      <c r="D187" s="5" t="str">
        <f t="shared" si="1"/>
        <v>November</v>
      </c>
      <c r="E187" s="5" t="str">
        <f t="shared" si="2"/>
        <v>2025</v>
      </c>
      <c r="F187" s="5" t="str">
        <f t="shared" si="3"/>
        <v>Q4</v>
      </c>
      <c r="G187" s="5">
        <v>1482.3</v>
      </c>
      <c r="H187" s="5">
        <v>1491.4</v>
      </c>
      <c r="I187" s="5">
        <v>1474.2</v>
      </c>
      <c r="J187" s="5">
        <v>1482.3</v>
      </c>
      <c r="K187" s="5">
        <v>1486</v>
      </c>
      <c r="L187" s="5">
        <v>1485.5</v>
      </c>
      <c r="M187" s="5">
        <v>1482.11</v>
      </c>
      <c r="N187" s="5">
        <v>2006.45</v>
      </c>
      <c r="O187" s="5">
        <v>1307</v>
      </c>
      <c r="P187" s="5">
        <v>5470600</v>
      </c>
      <c r="Q187" s="5">
        <v>166500</v>
      </c>
    </row>
    <row r="188" spans="1:17" x14ac:dyDescent="0.25">
      <c r="A188" s="3">
        <v>45965</v>
      </c>
      <c r="B188" s="4" t="s">
        <v>17</v>
      </c>
      <c r="C188" s="5" t="str">
        <f t="shared" si="0"/>
        <v>Tuesday</v>
      </c>
      <c r="D188" s="5" t="str">
        <f t="shared" si="1"/>
        <v>November</v>
      </c>
      <c r="E188" s="5" t="str">
        <f t="shared" si="2"/>
        <v>2025</v>
      </c>
      <c r="F188" s="5" t="str">
        <f t="shared" si="3"/>
        <v>Q4</v>
      </c>
      <c r="G188" s="5">
        <v>1479.7</v>
      </c>
      <c r="H188" s="5">
        <v>1481.9</v>
      </c>
      <c r="I188" s="5">
        <v>1462.9</v>
      </c>
      <c r="J188" s="5">
        <v>1485.5</v>
      </c>
      <c r="K188" s="5">
        <v>1468</v>
      </c>
      <c r="L188" s="5">
        <v>1467.9</v>
      </c>
      <c r="M188" s="5">
        <v>1470.61</v>
      </c>
      <c r="N188" s="5">
        <v>2006.45</v>
      </c>
      <c r="O188" s="5">
        <v>1307</v>
      </c>
      <c r="P188" s="5">
        <v>8691330</v>
      </c>
      <c r="Q188" s="5">
        <v>250131</v>
      </c>
    </row>
    <row r="189" spans="1:17" x14ac:dyDescent="0.25">
      <c r="A189" s="3">
        <v>45967</v>
      </c>
      <c r="B189" s="4" t="s">
        <v>17</v>
      </c>
      <c r="C189" s="5" t="str">
        <f t="shared" si="0"/>
        <v>Thursday</v>
      </c>
      <c r="D189" s="5" t="str">
        <f t="shared" si="1"/>
        <v>November</v>
      </c>
      <c r="E189" s="5" t="str">
        <f t="shared" si="2"/>
        <v>2025</v>
      </c>
      <c r="F189" s="5" t="str">
        <f t="shared" si="3"/>
        <v>Q4</v>
      </c>
      <c r="G189" s="5">
        <v>1478.6</v>
      </c>
      <c r="H189" s="5">
        <v>1483</v>
      </c>
      <c r="I189" s="5">
        <v>1461.9</v>
      </c>
      <c r="J189" s="5">
        <v>1467.9</v>
      </c>
      <c r="K189" s="5">
        <v>1466.5</v>
      </c>
      <c r="L189" s="5">
        <v>1466.7</v>
      </c>
      <c r="M189" s="5">
        <v>1471.99</v>
      </c>
      <c r="N189" s="5">
        <v>2006.45</v>
      </c>
      <c r="O189" s="5">
        <v>1307</v>
      </c>
      <c r="P189" s="5">
        <v>7944752</v>
      </c>
      <c r="Q189" s="5">
        <v>288667</v>
      </c>
    </row>
    <row r="190" spans="1:17" x14ac:dyDescent="0.25">
      <c r="A190" s="3">
        <v>45968</v>
      </c>
      <c r="B190" s="4" t="s">
        <v>17</v>
      </c>
      <c r="C190" s="5" t="str">
        <f t="shared" si="0"/>
        <v>Friday</v>
      </c>
      <c r="D190" s="5" t="str">
        <f t="shared" si="1"/>
        <v>November</v>
      </c>
      <c r="E190" s="5" t="str">
        <f t="shared" si="2"/>
        <v>2025</v>
      </c>
      <c r="F190" s="5" t="str">
        <f t="shared" si="3"/>
        <v>Q4</v>
      </c>
      <c r="G190" s="5">
        <v>1470</v>
      </c>
      <c r="H190" s="5">
        <v>1480.9</v>
      </c>
      <c r="I190" s="5">
        <v>1449.1</v>
      </c>
      <c r="J190" s="5">
        <v>1466.7</v>
      </c>
      <c r="K190" s="5">
        <v>1478</v>
      </c>
      <c r="L190" s="5">
        <v>1476.8</v>
      </c>
      <c r="M190" s="5">
        <v>1466.5</v>
      </c>
      <c r="N190" s="5">
        <v>2006.45</v>
      </c>
      <c r="O190" s="5">
        <v>1307</v>
      </c>
      <c r="P190" s="5">
        <v>8765759</v>
      </c>
      <c r="Q190" s="5">
        <v>254091</v>
      </c>
    </row>
    <row r="191" spans="1:17" x14ac:dyDescent="0.25">
      <c r="A191" s="6">
        <v>45971</v>
      </c>
      <c r="B191" s="4" t="s">
        <v>17</v>
      </c>
      <c r="C191" s="5" t="str">
        <f t="shared" si="0"/>
        <v>Monday</v>
      </c>
      <c r="D191" s="5" t="str">
        <f t="shared" si="1"/>
        <v>November</v>
      </c>
      <c r="E191" s="5" t="str">
        <f t="shared" si="2"/>
        <v>2025</v>
      </c>
      <c r="F191" s="5" t="str">
        <f t="shared" si="3"/>
        <v>Q4</v>
      </c>
      <c r="G191" s="5">
        <v>1490.1</v>
      </c>
      <c r="H191" s="5">
        <v>1520</v>
      </c>
      <c r="I191" s="5">
        <v>1490</v>
      </c>
      <c r="J191" s="5">
        <v>1476.8</v>
      </c>
      <c r="K191" s="5">
        <v>1515</v>
      </c>
      <c r="L191" s="5">
        <v>1513.5</v>
      </c>
      <c r="M191" s="5">
        <v>1510.83</v>
      </c>
      <c r="N191" s="5">
        <v>2006.45</v>
      </c>
      <c r="O191" s="5">
        <v>1307</v>
      </c>
      <c r="P191" s="5">
        <v>9787975</v>
      </c>
      <c r="Q191" s="5">
        <v>223666</v>
      </c>
    </row>
    <row r="192" spans="1:17" x14ac:dyDescent="0.25">
      <c r="A192" s="6">
        <v>45972</v>
      </c>
      <c r="B192" s="4" t="s">
        <v>17</v>
      </c>
      <c r="C192" s="5" t="str">
        <f t="shared" si="0"/>
        <v>Tuesday</v>
      </c>
      <c r="D192" s="5" t="str">
        <f t="shared" si="1"/>
        <v>November</v>
      </c>
      <c r="E192" s="5" t="str">
        <f t="shared" si="2"/>
        <v>2025</v>
      </c>
      <c r="F192" s="5" t="str">
        <f t="shared" si="3"/>
        <v>Q4</v>
      </c>
      <c r="G192" s="5">
        <v>1525</v>
      </c>
      <c r="H192" s="5">
        <v>1533.4</v>
      </c>
      <c r="I192" s="5">
        <v>1511.1</v>
      </c>
      <c r="J192" s="5">
        <v>1513.5</v>
      </c>
      <c r="K192" s="5">
        <v>1531.1</v>
      </c>
      <c r="L192" s="5">
        <v>1530.3</v>
      </c>
      <c r="M192" s="5">
        <v>1523.87</v>
      </c>
      <c r="N192" s="5">
        <v>2006.45</v>
      </c>
      <c r="O192" s="5">
        <v>1307</v>
      </c>
      <c r="P192" s="5">
        <v>13692989</v>
      </c>
      <c r="Q192" s="5">
        <v>255611</v>
      </c>
    </row>
    <row r="193" spans="1:17" x14ac:dyDescent="0.25">
      <c r="A193" s="6">
        <v>45973</v>
      </c>
      <c r="B193" s="4" t="s">
        <v>17</v>
      </c>
      <c r="C193" s="5" t="str">
        <f t="shared" si="0"/>
        <v>Wednesday</v>
      </c>
      <c r="D193" s="5" t="str">
        <f t="shared" si="1"/>
        <v>November</v>
      </c>
      <c r="E193" s="5" t="str">
        <f t="shared" si="2"/>
        <v>2025</v>
      </c>
      <c r="F193" s="5" t="str">
        <f t="shared" si="3"/>
        <v>Q4</v>
      </c>
      <c r="G193" s="5">
        <v>1540</v>
      </c>
      <c r="H193" s="5">
        <v>1559.2</v>
      </c>
      <c r="I193" s="5">
        <v>1538.1</v>
      </c>
      <c r="J193" s="5">
        <v>1530.3</v>
      </c>
      <c r="K193" s="5">
        <v>1550.6</v>
      </c>
      <c r="L193" s="5">
        <v>1551.7</v>
      </c>
      <c r="M193" s="5">
        <v>1551.22</v>
      </c>
      <c r="N193" s="5">
        <v>2006.45</v>
      </c>
      <c r="O193" s="5">
        <v>1307</v>
      </c>
      <c r="P193" s="5">
        <v>14635417</v>
      </c>
      <c r="Q193" s="5">
        <v>394127</v>
      </c>
    </row>
    <row r="194" spans="1:17" x14ac:dyDescent="0.25">
      <c r="A194" s="6">
        <v>45974</v>
      </c>
      <c r="B194" s="4" t="s">
        <v>17</v>
      </c>
      <c r="C194" s="5" t="str">
        <f t="shared" si="0"/>
        <v>Thursday</v>
      </c>
      <c r="D194" s="5" t="str">
        <f t="shared" si="1"/>
        <v>November</v>
      </c>
      <c r="E194" s="5" t="str">
        <f t="shared" si="2"/>
        <v>2025</v>
      </c>
      <c r="F194" s="5" t="str">
        <f t="shared" si="3"/>
        <v>Q4</v>
      </c>
      <c r="G194" s="5">
        <v>1557.1</v>
      </c>
      <c r="H194" s="5">
        <v>1557.5</v>
      </c>
      <c r="I194" s="5">
        <v>1530.3</v>
      </c>
      <c r="J194" s="5">
        <v>1551.7</v>
      </c>
      <c r="K194" s="5">
        <v>1542</v>
      </c>
      <c r="L194" s="5">
        <v>1541.8</v>
      </c>
      <c r="M194" s="5">
        <v>1546.18</v>
      </c>
      <c r="N194" s="5">
        <v>2006.45</v>
      </c>
      <c r="O194" s="5">
        <v>1307</v>
      </c>
      <c r="P194" s="5">
        <v>19655689</v>
      </c>
      <c r="Q194" s="5">
        <v>384451</v>
      </c>
    </row>
    <row r="195" spans="1:17" x14ac:dyDescent="0.25">
      <c r="A195" s="6">
        <v>45975</v>
      </c>
      <c r="B195" s="4" t="s">
        <v>17</v>
      </c>
      <c r="C195" s="5" t="str">
        <f t="shared" si="0"/>
        <v>Friday</v>
      </c>
      <c r="D195" s="5" t="str">
        <f t="shared" si="1"/>
        <v>November</v>
      </c>
      <c r="E195" s="5" t="str">
        <f t="shared" si="2"/>
        <v>2025</v>
      </c>
      <c r="F195" s="5" t="str">
        <f t="shared" si="3"/>
        <v>Q4</v>
      </c>
      <c r="G195" s="5">
        <v>1520</v>
      </c>
      <c r="H195" s="5">
        <v>1530</v>
      </c>
      <c r="I195" s="5">
        <v>1488.8</v>
      </c>
      <c r="J195" s="5">
        <v>1541.8</v>
      </c>
      <c r="K195" s="5">
        <v>1505.8</v>
      </c>
      <c r="L195" s="5">
        <v>1502.8</v>
      </c>
      <c r="M195" s="5">
        <v>1502.86</v>
      </c>
      <c r="N195" s="5">
        <v>2006.45</v>
      </c>
      <c r="O195" s="5">
        <v>1307</v>
      </c>
      <c r="P195" s="5">
        <v>9739549</v>
      </c>
      <c r="Q195" s="5">
        <v>236102</v>
      </c>
    </row>
    <row r="196" spans="1:17" x14ac:dyDescent="0.25">
      <c r="A196" s="6">
        <v>45978</v>
      </c>
      <c r="B196" s="4" t="s">
        <v>17</v>
      </c>
      <c r="C196" s="5" t="str">
        <f t="shared" si="0"/>
        <v>Monday</v>
      </c>
      <c r="D196" s="5" t="str">
        <f t="shared" si="1"/>
        <v>November</v>
      </c>
      <c r="E196" s="5" t="str">
        <f t="shared" si="2"/>
        <v>2025</v>
      </c>
      <c r="F196" s="5" t="str">
        <f t="shared" si="3"/>
        <v>Q4</v>
      </c>
      <c r="G196" s="5">
        <v>1496</v>
      </c>
      <c r="H196" s="5">
        <v>1510.2</v>
      </c>
      <c r="I196" s="5">
        <v>1492.5</v>
      </c>
      <c r="J196" s="5">
        <v>1502.8</v>
      </c>
      <c r="K196" s="5">
        <v>1507</v>
      </c>
      <c r="L196" s="5">
        <v>1507.6</v>
      </c>
      <c r="M196" s="5">
        <v>1502.37</v>
      </c>
      <c r="N196" s="5">
        <v>2006.45</v>
      </c>
      <c r="O196" s="5">
        <v>1307</v>
      </c>
      <c r="P196" s="5">
        <v>7910354</v>
      </c>
      <c r="Q196" s="5">
        <v>271436</v>
      </c>
    </row>
    <row r="197" spans="1:17" x14ac:dyDescent="0.25">
      <c r="A197" s="6">
        <v>45979</v>
      </c>
      <c r="B197" s="4" t="s">
        <v>17</v>
      </c>
      <c r="C197" s="5" t="str">
        <f t="shared" si="0"/>
        <v>Tuesday</v>
      </c>
      <c r="D197" s="5" t="str">
        <f t="shared" si="1"/>
        <v>November</v>
      </c>
      <c r="E197" s="5" t="str">
        <f t="shared" si="2"/>
        <v>2025</v>
      </c>
      <c r="F197" s="5" t="str">
        <f t="shared" si="3"/>
        <v>Q4</v>
      </c>
      <c r="G197" s="5">
        <v>1506</v>
      </c>
      <c r="H197" s="5">
        <v>1506</v>
      </c>
      <c r="I197" s="5">
        <v>1483.2</v>
      </c>
      <c r="J197" s="5">
        <v>1507.6</v>
      </c>
      <c r="K197" s="5">
        <v>1486.8</v>
      </c>
      <c r="L197" s="5">
        <v>1486.4</v>
      </c>
      <c r="M197" s="5">
        <v>1489.33</v>
      </c>
      <c r="N197" s="5">
        <v>2006.45</v>
      </c>
      <c r="O197" s="5">
        <v>1307</v>
      </c>
      <c r="P197" s="5">
        <v>7525119</v>
      </c>
      <c r="Q197" s="5">
        <v>164811</v>
      </c>
    </row>
    <row r="198" spans="1:17" x14ac:dyDescent="0.25">
      <c r="A198" s="6">
        <v>45980</v>
      </c>
      <c r="B198" s="4" t="s">
        <v>17</v>
      </c>
      <c r="C198" s="5" t="str">
        <f t="shared" si="0"/>
        <v>Wednesday</v>
      </c>
      <c r="D198" s="5" t="str">
        <f t="shared" si="1"/>
        <v>November</v>
      </c>
      <c r="E198" s="5" t="str">
        <f t="shared" si="2"/>
        <v>2025</v>
      </c>
      <c r="F198" s="5" t="str">
        <f t="shared" si="3"/>
        <v>Q4</v>
      </c>
      <c r="G198" s="5">
        <v>1490.5</v>
      </c>
      <c r="H198" s="5">
        <v>1543</v>
      </c>
      <c r="I198" s="5">
        <v>1490.5</v>
      </c>
      <c r="J198" s="5">
        <v>1486.4</v>
      </c>
      <c r="K198" s="5">
        <v>1542</v>
      </c>
      <c r="L198" s="5">
        <v>1541.1</v>
      </c>
      <c r="M198" s="5">
        <v>1531.48</v>
      </c>
      <c r="N198" s="5">
        <v>2006.45</v>
      </c>
      <c r="O198" s="5">
        <v>1307</v>
      </c>
      <c r="P198" s="5">
        <v>10981126</v>
      </c>
      <c r="Q198" s="5">
        <v>212749</v>
      </c>
    </row>
    <row r="199" spans="1:17" x14ac:dyDescent="0.25">
      <c r="A199" s="6">
        <v>45981</v>
      </c>
      <c r="B199" s="4" t="s">
        <v>17</v>
      </c>
      <c r="C199" s="5" t="str">
        <f t="shared" si="0"/>
        <v>Thursday</v>
      </c>
      <c r="D199" s="5" t="str">
        <f t="shared" si="1"/>
        <v>November</v>
      </c>
      <c r="E199" s="5" t="str">
        <f t="shared" si="2"/>
        <v>2025</v>
      </c>
      <c r="F199" s="5" t="str">
        <f t="shared" si="3"/>
        <v>Q4</v>
      </c>
      <c r="G199" s="5">
        <v>1555</v>
      </c>
      <c r="H199" s="5">
        <v>1555</v>
      </c>
      <c r="I199" s="5">
        <v>1534</v>
      </c>
      <c r="J199" s="5">
        <v>1541.1</v>
      </c>
      <c r="K199" s="5">
        <v>1536.3</v>
      </c>
      <c r="L199" s="5">
        <v>1536.5</v>
      </c>
      <c r="M199" s="5">
        <v>1539.6</v>
      </c>
      <c r="N199" s="5">
        <v>2006.45</v>
      </c>
      <c r="O199" s="5">
        <v>1307</v>
      </c>
      <c r="P199" s="5">
        <v>7387584</v>
      </c>
      <c r="Q199" s="5">
        <v>174272</v>
      </c>
    </row>
    <row r="200" spans="1:17" x14ac:dyDescent="0.25">
      <c r="A200" s="6">
        <v>45982</v>
      </c>
      <c r="B200" s="4" t="s">
        <v>17</v>
      </c>
      <c r="C200" s="5" t="str">
        <f t="shared" si="0"/>
        <v>Friday</v>
      </c>
      <c r="D200" s="5" t="str">
        <f t="shared" si="1"/>
        <v>November</v>
      </c>
      <c r="E200" s="5" t="str">
        <f t="shared" si="2"/>
        <v>2025</v>
      </c>
      <c r="F200" s="5" t="str">
        <f t="shared" si="3"/>
        <v>Q4</v>
      </c>
      <c r="G200" s="5">
        <v>1531</v>
      </c>
      <c r="H200" s="5">
        <v>1551.5</v>
      </c>
      <c r="I200" s="5">
        <v>1526.3</v>
      </c>
      <c r="J200" s="5">
        <v>1536.5</v>
      </c>
      <c r="K200" s="5">
        <v>1544.1</v>
      </c>
      <c r="L200" s="5">
        <v>1545</v>
      </c>
      <c r="M200" s="5">
        <v>1543.83</v>
      </c>
      <c r="N200" s="5">
        <v>2006.45</v>
      </c>
      <c r="O200" s="5">
        <v>1307</v>
      </c>
      <c r="P200" s="5">
        <v>9186302</v>
      </c>
      <c r="Q200" s="5">
        <v>227357</v>
      </c>
    </row>
    <row r="201" spans="1:17" x14ac:dyDescent="0.25">
      <c r="A201" s="6">
        <v>45985</v>
      </c>
      <c r="B201" s="4" t="s">
        <v>17</v>
      </c>
      <c r="C201" s="5" t="str">
        <f t="shared" si="0"/>
        <v>Monday</v>
      </c>
      <c r="D201" s="5" t="str">
        <f t="shared" si="1"/>
        <v>November</v>
      </c>
      <c r="E201" s="5" t="str">
        <f t="shared" si="2"/>
        <v>2025</v>
      </c>
      <c r="F201" s="5" t="str">
        <f t="shared" si="3"/>
        <v>Q4</v>
      </c>
      <c r="G201" s="5">
        <v>1563.6</v>
      </c>
      <c r="H201" s="5">
        <v>1585</v>
      </c>
      <c r="I201" s="5">
        <v>1541</v>
      </c>
      <c r="J201" s="5">
        <v>1545</v>
      </c>
      <c r="K201" s="5">
        <v>1546.2</v>
      </c>
      <c r="L201" s="5">
        <v>1548</v>
      </c>
      <c r="M201" s="5">
        <v>1558.71</v>
      </c>
      <c r="N201" s="5">
        <v>2006.45</v>
      </c>
      <c r="O201" s="5">
        <v>1307</v>
      </c>
      <c r="P201" s="5">
        <v>19270381</v>
      </c>
      <c r="Q201" s="5">
        <v>267249</v>
      </c>
    </row>
    <row r="202" spans="1:17" x14ac:dyDescent="0.25">
      <c r="A202" s="6">
        <v>45986</v>
      </c>
      <c r="B202" s="4" t="s">
        <v>17</v>
      </c>
      <c r="C202" s="5" t="str">
        <f t="shared" si="0"/>
        <v>Tuesday</v>
      </c>
      <c r="D202" s="5" t="str">
        <f t="shared" si="1"/>
        <v>November</v>
      </c>
      <c r="E202" s="5" t="str">
        <f t="shared" si="2"/>
        <v>2025</v>
      </c>
      <c r="F202" s="5" t="str">
        <f t="shared" si="3"/>
        <v>Q4</v>
      </c>
      <c r="G202" s="5">
        <v>1549</v>
      </c>
      <c r="H202" s="5">
        <v>1550.6</v>
      </c>
      <c r="I202" s="5">
        <v>1525.9</v>
      </c>
      <c r="J202" s="5">
        <v>1548</v>
      </c>
      <c r="K202" s="5">
        <v>1530.2</v>
      </c>
      <c r="L202" s="5">
        <v>1530.6</v>
      </c>
      <c r="M202" s="5">
        <v>1532.04</v>
      </c>
      <c r="N202" s="5">
        <v>2006.45</v>
      </c>
      <c r="O202" s="5">
        <v>1307</v>
      </c>
      <c r="P202" s="5">
        <v>8107952</v>
      </c>
      <c r="Q202" s="5">
        <v>170664</v>
      </c>
    </row>
    <row r="203" spans="1:17" x14ac:dyDescent="0.25">
      <c r="A203" s="6">
        <v>45987</v>
      </c>
      <c r="B203" s="4" t="s">
        <v>17</v>
      </c>
      <c r="C203" s="5" t="str">
        <f t="shared" si="0"/>
        <v>Wednesday</v>
      </c>
      <c r="D203" s="5" t="str">
        <f t="shared" si="1"/>
        <v>November</v>
      </c>
      <c r="E203" s="5" t="str">
        <f t="shared" si="2"/>
        <v>2025</v>
      </c>
      <c r="F203" s="5" t="str">
        <f t="shared" si="3"/>
        <v>Q4</v>
      </c>
      <c r="G203" s="5">
        <v>1532.1</v>
      </c>
      <c r="H203" s="5">
        <v>1560.3</v>
      </c>
      <c r="I203" s="5">
        <v>1532.1</v>
      </c>
      <c r="J203" s="5">
        <v>1530.6</v>
      </c>
      <c r="K203" s="5">
        <v>1557.3</v>
      </c>
      <c r="L203" s="5">
        <v>1557.9</v>
      </c>
      <c r="M203" s="5">
        <v>1550.71</v>
      </c>
      <c r="N203" s="5">
        <v>2006.45</v>
      </c>
      <c r="O203" s="5">
        <v>1307</v>
      </c>
      <c r="P203" s="5">
        <v>7575038</v>
      </c>
      <c r="Q203" s="5">
        <v>122796</v>
      </c>
    </row>
    <row r="204" spans="1:17" x14ac:dyDescent="0.25">
      <c r="A204" s="6">
        <v>45988</v>
      </c>
      <c r="B204" s="4" t="s">
        <v>17</v>
      </c>
      <c r="C204" s="5" t="str">
        <f t="shared" si="0"/>
        <v>Thursday</v>
      </c>
      <c r="D204" s="5" t="str">
        <f t="shared" si="1"/>
        <v>November</v>
      </c>
      <c r="E204" s="5" t="str">
        <f t="shared" si="2"/>
        <v>2025</v>
      </c>
      <c r="F204" s="5" t="str">
        <f t="shared" si="3"/>
        <v>Q4</v>
      </c>
      <c r="G204" s="5">
        <v>1564</v>
      </c>
      <c r="H204" s="5">
        <v>1574.3</v>
      </c>
      <c r="I204" s="5">
        <v>1552.2</v>
      </c>
      <c r="J204" s="5">
        <v>1557.9</v>
      </c>
      <c r="K204" s="5">
        <v>1565</v>
      </c>
      <c r="L204" s="5">
        <v>1566.4</v>
      </c>
      <c r="M204" s="5">
        <v>1563.46</v>
      </c>
      <c r="N204" s="5">
        <v>2006.45</v>
      </c>
      <c r="O204" s="5">
        <v>1307</v>
      </c>
      <c r="P204" s="5">
        <v>7552252</v>
      </c>
      <c r="Q204" s="5">
        <v>168875</v>
      </c>
    </row>
    <row r="205" spans="1:17" x14ac:dyDescent="0.25">
      <c r="A205" s="6">
        <v>45989</v>
      </c>
      <c r="B205" s="4" t="s">
        <v>17</v>
      </c>
      <c r="C205" s="5" t="str">
        <f t="shared" si="0"/>
        <v>Friday</v>
      </c>
      <c r="D205" s="5" t="str">
        <f t="shared" si="1"/>
        <v>November</v>
      </c>
      <c r="E205" s="5" t="str">
        <f t="shared" si="2"/>
        <v>2025</v>
      </c>
      <c r="F205" s="5" t="str">
        <f t="shared" si="3"/>
        <v>Q4</v>
      </c>
      <c r="G205" s="5">
        <v>1565</v>
      </c>
      <c r="H205" s="5">
        <v>1568.4</v>
      </c>
      <c r="I205" s="5">
        <v>1557</v>
      </c>
      <c r="J205" s="5">
        <v>1566.4</v>
      </c>
      <c r="K205" s="5">
        <v>1558.1</v>
      </c>
      <c r="L205" s="5">
        <v>1560.1</v>
      </c>
      <c r="M205" s="5">
        <v>1561.93</v>
      </c>
      <c r="N205" s="5">
        <v>2006.45</v>
      </c>
      <c r="O205" s="5">
        <v>1307</v>
      </c>
      <c r="P205" s="5">
        <v>4453221</v>
      </c>
      <c r="Q205" s="5">
        <v>115190</v>
      </c>
    </row>
    <row r="206" spans="1:17" x14ac:dyDescent="0.25">
      <c r="A206" s="3">
        <v>45992</v>
      </c>
      <c r="B206" s="4" t="s">
        <v>17</v>
      </c>
      <c r="C206" s="5" t="str">
        <f t="shared" si="0"/>
        <v>Monday</v>
      </c>
      <c r="D206" s="5" t="str">
        <f t="shared" si="1"/>
        <v>December</v>
      </c>
      <c r="E206" s="5" t="str">
        <f t="shared" si="2"/>
        <v>2025</v>
      </c>
      <c r="F206" s="5" t="str">
        <f t="shared" si="3"/>
        <v>Q4</v>
      </c>
      <c r="G206" s="5">
        <v>1562.5</v>
      </c>
      <c r="H206" s="5">
        <v>1574</v>
      </c>
      <c r="I206" s="5">
        <v>1556</v>
      </c>
      <c r="J206" s="5">
        <v>1560.1</v>
      </c>
      <c r="K206" s="5">
        <v>1563.5</v>
      </c>
      <c r="L206" s="5">
        <v>1564</v>
      </c>
      <c r="M206" s="5">
        <v>1564.42</v>
      </c>
      <c r="N206" s="5">
        <v>2006.45</v>
      </c>
      <c r="O206" s="5">
        <v>1307</v>
      </c>
      <c r="P206" s="5">
        <v>5341800</v>
      </c>
      <c r="Q206" s="5">
        <v>189364</v>
      </c>
    </row>
    <row r="207" spans="1:17" x14ac:dyDescent="0.25">
      <c r="A207" s="3">
        <v>45993</v>
      </c>
      <c r="B207" s="4" t="s">
        <v>17</v>
      </c>
      <c r="C207" s="5" t="str">
        <f t="shared" si="0"/>
        <v>Tuesday</v>
      </c>
      <c r="D207" s="5" t="str">
        <f t="shared" si="1"/>
        <v>December</v>
      </c>
      <c r="E207" s="5" t="str">
        <f t="shared" si="2"/>
        <v>2025</v>
      </c>
      <c r="F207" s="5" t="str">
        <f t="shared" si="3"/>
        <v>Q4</v>
      </c>
      <c r="G207" s="5">
        <v>1567</v>
      </c>
      <c r="H207" s="5">
        <v>1579.9</v>
      </c>
      <c r="I207" s="5">
        <v>1556.1</v>
      </c>
      <c r="J207" s="5">
        <v>1564</v>
      </c>
      <c r="K207" s="5">
        <v>1563</v>
      </c>
      <c r="L207" s="5">
        <v>1561</v>
      </c>
      <c r="M207" s="5">
        <v>1564.22</v>
      </c>
      <c r="N207" s="5">
        <v>2006.45</v>
      </c>
      <c r="O207" s="5">
        <v>1307</v>
      </c>
      <c r="P207" s="5">
        <v>6335969</v>
      </c>
      <c r="Q207" s="5">
        <v>243238</v>
      </c>
    </row>
    <row r="208" spans="1:17" x14ac:dyDescent="0.25">
      <c r="A208" s="3">
        <v>45994</v>
      </c>
      <c r="B208" s="4" t="s">
        <v>17</v>
      </c>
      <c r="C208" s="5" t="str">
        <f t="shared" si="0"/>
        <v>Wednesday</v>
      </c>
      <c r="D208" s="5" t="str">
        <f t="shared" si="1"/>
        <v>December</v>
      </c>
      <c r="E208" s="5" t="str">
        <f t="shared" si="2"/>
        <v>2025</v>
      </c>
      <c r="F208" s="5" t="str">
        <f t="shared" si="3"/>
        <v>Q4</v>
      </c>
      <c r="G208" s="5">
        <v>1555.1</v>
      </c>
      <c r="H208" s="5">
        <v>1586</v>
      </c>
      <c r="I208" s="5">
        <v>1554.1</v>
      </c>
      <c r="J208" s="5">
        <v>1561</v>
      </c>
      <c r="K208" s="5">
        <v>1575.6</v>
      </c>
      <c r="L208" s="5">
        <v>1578.7</v>
      </c>
      <c r="M208" s="5">
        <v>1574.15</v>
      </c>
      <c r="N208" s="5">
        <v>2006.45</v>
      </c>
      <c r="O208" s="5">
        <v>1307</v>
      </c>
      <c r="P208" s="5">
        <v>12895312</v>
      </c>
      <c r="Q208" s="5">
        <v>339751</v>
      </c>
    </row>
    <row r="209" spans="1:17" x14ac:dyDescent="0.25">
      <c r="A209" s="3">
        <v>45995</v>
      </c>
      <c r="B209" s="4" t="s">
        <v>17</v>
      </c>
      <c r="C209" s="5" t="str">
        <f t="shared" si="0"/>
        <v>Thursday</v>
      </c>
      <c r="D209" s="5" t="str">
        <f t="shared" si="1"/>
        <v>December</v>
      </c>
      <c r="E209" s="5" t="str">
        <f t="shared" si="2"/>
        <v>2025</v>
      </c>
      <c r="F209" s="5" t="str">
        <f t="shared" si="3"/>
        <v>Q4</v>
      </c>
      <c r="G209" s="5">
        <v>1568</v>
      </c>
      <c r="H209" s="5">
        <v>1599</v>
      </c>
      <c r="I209" s="5">
        <v>1568</v>
      </c>
      <c r="J209" s="5">
        <v>1578.7</v>
      </c>
      <c r="K209" s="5">
        <v>1593.2</v>
      </c>
      <c r="L209" s="5">
        <v>1597.6</v>
      </c>
      <c r="M209" s="5">
        <v>1591.52</v>
      </c>
      <c r="N209" s="5">
        <v>2006.45</v>
      </c>
      <c r="O209" s="5">
        <v>1307</v>
      </c>
      <c r="P209" s="5">
        <v>12609619</v>
      </c>
      <c r="Q209" s="5">
        <v>325755</v>
      </c>
    </row>
    <row r="210" spans="1:17" x14ac:dyDescent="0.25">
      <c r="A210" s="3">
        <v>45996</v>
      </c>
      <c r="B210" s="4" t="s">
        <v>17</v>
      </c>
      <c r="C210" s="5" t="str">
        <f t="shared" si="0"/>
        <v>Friday</v>
      </c>
      <c r="D210" s="5" t="str">
        <f t="shared" si="1"/>
        <v>December</v>
      </c>
      <c r="E210" s="5" t="str">
        <f t="shared" si="2"/>
        <v>2025</v>
      </c>
      <c r="F210" s="5" t="str">
        <f t="shared" si="3"/>
        <v>Q4</v>
      </c>
      <c r="G210" s="5">
        <v>1610</v>
      </c>
      <c r="H210" s="5">
        <v>1631.8</v>
      </c>
      <c r="I210" s="5">
        <v>1600</v>
      </c>
      <c r="J210" s="5">
        <v>1597.6</v>
      </c>
      <c r="K210" s="5">
        <v>1613.9</v>
      </c>
      <c r="L210" s="5">
        <v>1616.2</v>
      </c>
      <c r="M210" s="5">
        <v>1617.78</v>
      </c>
      <c r="N210" s="5">
        <v>2006.45</v>
      </c>
      <c r="O210" s="5">
        <v>1307</v>
      </c>
      <c r="P210" s="5">
        <v>10344725</v>
      </c>
      <c r="Q210" s="5">
        <v>327955</v>
      </c>
    </row>
    <row r="211" spans="1:17" x14ac:dyDescent="0.25">
      <c r="A211" s="3">
        <v>45999</v>
      </c>
      <c r="B211" s="4" t="s">
        <v>17</v>
      </c>
      <c r="C211" s="5" t="str">
        <f t="shared" si="0"/>
        <v>Monday</v>
      </c>
      <c r="D211" s="5" t="str">
        <f t="shared" si="1"/>
        <v>December</v>
      </c>
      <c r="E211" s="5" t="str">
        <f t="shared" si="2"/>
        <v>2025</v>
      </c>
      <c r="F211" s="5" t="str">
        <f t="shared" si="3"/>
        <v>Q4</v>
      </c>
      <c r="G211" s="5">
        <v>1617.1</v>
      </c>
      <c r="H211" s="5">
        <v>1630</v>
      </c>
      <c r="I211" s="5">
        <v>1600.2</v>
      </c>
      <c r="J211" s="5">
        <v>1616.2</v>
      </c>
      <c r="K211" s="5">
        <v>1608</v>
      </c>
      <c r="L211" s="5">
        <v>1610.8</v>
      </c>
      <c r="M211" s="5">
        <v>1616.8</v>
      </c>
      <c r="N211" s="5">
        <v>2006.45</v>
      </c>
      <c r="O211" s="5">
        <v>1307</v>
      </c>
      <c r="P211" s="5">
        <v>7550413</v>
      </c>
      <c r="Q211" s="5">
        <v>302234</v>
      </c>
    </row>
    <row r="212" spans="1:17" x14ac:dyDescent="0.25">
      <c r="A212" s="3">
        <v>46000</v>
      </c>
      <c r="B212" s="4" t="s">
        <v>17</v>
      </c>
      <c r="C212" s="5" t="str">
        <f t="shared" si="0"/>
        <v>Tuesday</v>
      </c>
      <c r="D212" s="5" t="str">
        <f t="shared" si="1"/>
        <v>December</v>
      </c>
      <c r="E212" s="5" t="str">
        <f t="shared" si="2"/>
        <v>2025</v>
      </c>
      <c r="F212" s="5" t="str">
        <f t="shared" si="3"/>
        <v>Q4</v>
      </c>
      <c r="G212" s="5">
        <v>1601.2</v>
      </c>
      <c r="H212" s="5">
        <v>1606.9</v>
      </c>
      <c r="I212" s="5">
        <v>1582.4</v>
      </c>
      <c r="J212" s="5">
        <v>1610.8</v>
      </c>
      <c r="K212" s="5">
        <v>1597</v>
      </c>
      <c r="L212" s="5">
        <v>1599</v>
      </c>
      <c r="M212" s="5">
        <v>1596.28</v>
      </c>
      <c r="N212" s="5">
        <v>2006.45</v>
      </c>
      <c r="O212" s="5">
        <v>1307</v>
      </c>
      <c r="P212" s="5">
        <v>6957599</v>
      </c>
      <c r="Q212" s="5">
        <v>156650</v>
      </c>
    </row>
    <row r="213" spans="1:17" x14ac:dyDescent="0.25">
      <c r="A213" s="6">
        <v>46001</v>
      </c>
      <c r="B213" s="4" t="s">
        <v>17</v>
      </c>
      <c r="C213" s="5" t="str">
        <f t="shared" si="0"/>
        <v>Wednesday</v>
      </c>
      <c r="D213" s="5" t="str">
        <f t="shared" si="1"/>
        <v>December</v>
      </c>
      <c r="E213" s="5" t="str">
        <f t="shared" si="2"/>
        <v>2025</v>
      </c>
      <c r="F213" s="5" t="str">
        <f t="shared" si="3"/>
        <v>Q4</v>
      </c>
      <c r="G213" s="5">
        <v>1608</v>
      </c>
      <c r="H213" s="5">
        <v>1608</v>
      </c>
      <c r="I213" s="5">
        <v>1582.8</v>
      </c>
      <c r="J213" s="5">
        <v>1599</v>
      </c>
      <c r="K213" s="5">
        <v>1584.8</v>
      </c>
      <c r="L213" s="5">
        <v>1584.8</v>
      </c>
      <c r="M213" s="5">
        <v>1590.84</v>
      </c>
      <c r="N213" s="5">
        <v>2006.45</v>
      </c>
      <c r="O213" s="5">
        <v>1307</v>
      </c>
      <c r="P213" s="5">
        <v>5116140</v>
      </c>
      <c r="Q213" s="5">
        <v>191185</v>
      </c>
    </row>
    <row r="214" spans="1:17" x14ac:dyDescent="0.25">
      <c r="A214" s="6">
        <v>46002</v>
      </c>
      <c r="B214" s="4" t="s">
        <v>17</v>
      </c>
      <c r="C214" s="5" t="str">
        <f t="shared" si="0"/>
        <v>Thursday</v>
      </c>
      <c r="D214" s="5" t="str">
        <f t="shared" si="1"/>
        <v>December</v>
      </c>
      <c r="E214" s="5" t="str">
        <f t="shared" si="2"/>
        <v>2025</v>
      </c>
      <c r="F214" s="5" t="str">
        <f t="shared" si="3"/>
        <v>Q4</v>
      </c>
      <c r="G214" s="5">
        <v>1598</v>
      </c>
      <c r="H214" s="5">
        <v>1607.4</v>
      </c>
      <c r="I214" s="5">
        <v>1580.5</v>
      </c>
      <c r="J214" s="5">
        <v>1584.8</v>
      </c>
      <c r="K214" s="5">
        <v>1596.2</v>
      </c>
      <c r="L214" s="5">
        <v>1598</v>
      </c>
      <c r="M214" s="5">
        <v>1592.84</v>
      </c>
      <c r="N214" s="5">
        <v>2006.45</v>
      </c>
      <c r="O214" s="5">
        <v>1307</v>
      </c>
      <c r="P214" s="5">
        <v>5159319</v>
      </c>
      <c r="Q214" s="5">
        <v>154906</v>
      </c>
    </row>
    <row r="215" spans="1:17" x14ac:dyDescent="0.25">
      <c r="A215" s="6">
        <v>46003</v>
      </c>
      <c r="B215" s="4" t="s">
        <v>17</v>
      </c>
      <c r="C215" s="5" t="str">
        <f t="shared" si="0"/>
        <v>Friday</v>
      </c>
      <c r="D215" s="5" t="str">
        <f t="shared" si="1"/>
        <v>December</v>
      </c>
      <c r="E215" s="5" t="str">
        <f t="shared" si="2"/>
        <v>2025</v>
      </c>
      <c r="F215" s="5" t="str">
        <f t="shared" si="3"/>
        <v>Q4</v>
      </c>
      <c r="G215" s="5">
        <v>1601.4</v>
      </c>
      <c r="H215" s="5">
        <v>1601.8</v>
      </c>
      <c r="I215" s="5">
        <v>1582.6</v>
      </c>
      <c r="J215" s="5">
        <v>1598</v>
      </c>
      <c r="K215" s="5">
        <v>1597.5</v>
      </c>
      <c r="L215" s="5">
        <v>1598.2</v>
      </c>
      <c r="M215" s="5">
        <v>1593.93</v>
      </c>
      <c r="N215" s="5">
        <v>2006.45</v>
      </c>
      <c r="O215" s="5">
        <v>1307</v>
      </c>
      <c r="P215" s="5">
        <v>4633912</v>
      </c>
      <c r="Q215" s="5">
        <v>144042</v>
      </c>
    </row>
    <row r="216" spans="1:17" x14ac:dyDescent="0.25">
      <c r="A216" s="6">
        <v>46006</v>
      </c>
      <c r="B216" s="4" t="s">
        <v>17</v>
      </c>
      <c r="C216" s="5" t="str">
        <f t="shared" si="0"/>
        <v>Monday</v>
      </c>
      <c r="D216" s="5" t="str">
        <f t="shared" si="1"/>
        <v>December</v>
      </c>
      <c r="E216" s="5" t="str">
        <f t="shared" si="2"/>
        <v>2025</v>
      </c>
      <c r="F216" s="5" t="str">
        <f t="shared" si="3"/>
        <v>Q4</v>
      </c>
      <c r="G216" s="5">
        <v>1585</v>
      </c>
      <c r="H216" s="5">
        <v>1610.8</v>
      </c>
      <c r="I216" s="5">
        <v>1585</v>
      </c>
      <c r="J216" s="5">
        <v>1598.2</v>
      </c>
      <c r="K216" s="5">
        <v>1607</v>
      </c>
      <c r="L216" s="5">
        <v>1606.8</v>
      </c>
      <c r="M216" s="5">
        <v>1603.88</v>
      </c>
      <c r="N216" s="5">
        <v>1999.6</v>
      </c>
      <c r="O216" s="5">
        <v>1307</v>
      </c>
      <c r="P216" s="5">
        <v>4190558</v>
      </c>
      <c r="Q216" s="5">
        <v>163737</v>
      </c>
    </row>
    <row r="217" spans="1:17" x14ac:dyDescent="0.25">
      <c r="A217" s="6">
        <v>46007</v>
      </c>
      <c r="B217" s="4" t="s">
        <v>17</v>
      </c>
      <c r="C217" s="5" t="str">
        <f t="shared" si="0"/>
        <v>Tuesday</v>
      </c>
      <c r="D217" s="5" t="str">
        <f t="shared" si="1"/>
        <v>December</v>
      </c>
      <c r="E217" s="5" t="str">
        <f t="shared" si="2"/>
        <v>2025</v>
      </c>
      <c r="F217" s="5" t="str">
        <f t="shared" si="3"/>
        <v>Q4</v>
      </c>
      <c r="G217" s="5">
        <v>1600</v>
      </c>
      <c r="H217" s="5">
        <v>1603</v>
      </c>
      <c r="I217" s="5">
        <v>1585.6</v>
      </c>
      <c r="J217" s="5">
        <v>1606.8</v>
      </c>
      <c r="K217" s="5">
        <v>1592.6</v>
      </c>
      <c r="L217" s="5">
        <v>1592.9</v>
      </c>
      <c r="M217" s="5">
        <v>1591.77</v>
      </c>
      <c r="N217" s="5">
        <v>1999.6</v>
      </c>
      <c r="O217" s="5">
        <v>1307</v>
      </c>
      <c r="P217" s="5">
        <v>5499258</v>
      </c>
      <c r="Q217" s="5">
        <v>220591</v>
      </c>
    </row>
    <row r="218" spans="1:17" x14ac:dyDescent="0.25">
      <c r="A218" s="6">
        <v>46008</v>
      </c>
      <c r="B218" s="4" t="s">
        <v>17</v>
      </c>
      <c r="C218" s="5" t="str">
        <f t="shared" si="0"/>
        <v>Wednesday</v>
      </c>
      <c r="D218" s="5" t="str">
        <f t="shared" si="1"/>
        <v>December</v>
      </c>
      <c r="E218" s="5" t="str">
        <f t="shared" si="2"/>
        <v>2025</v>
      </c>
      <c r="F218" s="5" t="str">
        <f t="shared" si="3"/>
        <v>Q4</v>
      </c>
      <c r="G218" s="5">
        <v>1587.2</v>
      </c>
      <c r="H218" s="5">
        <v>1606.9</v>
      </c>
      <c r="I218" s="5">
        <v>1586</v>
      </c>
      <c r="J218" s="5">
        <v>1592.9</v>
      </c>
      <c r="K218" s="5">
        <v>1602</v>
      </c>
      <c r="L218" s="5">
        <v>1602</v>
      </c>
      <c r="M218" s="5">
        <v>1600.21</v>
      </c>
      <c r="N218" s="5">
        <v>1999.6</v>
      </c>
      <c r="O218" s="5">
        <v>1307</v>
      </c>
      <c r="P218" s="5">
        <v>4817628</v>
      </c>
      <c r="Q218" s="5">
        <v>155044</v>
      </c>
    </row>
    <row r="219" spans="1:17" x14ac:dyDescent="0.25">
      <c r="A219" s="6">
        <v>46009</v>
      </c>
      <c r="B219" s="4" t="s">
        <v>17</v>
      </c>
      <c r="C219" s="5" t="str">
        <f t="shared" si="0"/>
        <v>Thursday</v>
      </c>
      <c r="D219" s="5" t="str">
        <f t="shared" si="1"/>
        <v>December</v>
      </c>
      <c r="E219" s="5" t="str">
        <f t="shared" si="2"/>
        <v>2025</v>
      </c>
      <c r="F219" s="5" t="str">
        <f t="shared" si="3"/>
        <v>Q4</v>
      </c>
      <c r="G219" s="5">
        <v>1610.5</v>
      </c>
      <c r="H219" s="5">
        <v>1630</v>
      </c>
      <c r="I219" s="5">
        <v>1606.7</v>
      </c>
      <c r="J219" s="5">
        <v>1602</v>
      </c>
      <c r="K219" s="5">
        <v>1627.1</v>
      </c>
      <c r="L219" s="5">
        <v>1626.8</v>
      </c>
      <c r="M219" s="5">
        <v>1623.68</v>
      </c>
      <c r="N219" s="5">
        <v>1999.6</v>
      </c>
      <c r="O219" s="5">
        <v>1307</v>
      </c>
      <c r="P219" s="5">
        <v>6577293</v>
      </c>
      <c r="Q219" s="5">
        <v>288341</v>
      </c>
    </row>
    <row r="220" spans="1:17" x14ac:dyDescent="0.25">
      <c r="A220" s="6">
        <v>46010</v>
      </c>
      <c r="B220" s="4" t="s">
        <v>17</v>
      </c>
      <c r="C220" s="5" t="str">
        <f t="shared" si="0"/>
        <v>Friday</v>
      </c>
      <c r="D220" s="5" t="str">
        <f t="shared" si="1"/>
        <v>December</v>
      </c>
      <c r="E220" s="5" t="str">
        <f t="shared" si="2"/>
        <v>2025</v>
      </c>
      <c r="F220" s="5" t="str">
        <f t="shared" si="3"/>
        <v>Q4</v>
      </c>
      <c r="G220" s="5">
        <v>1650</v>
      </c>
      <c r="H220" s="5">
        <v>1654.9</v>
      </c>
      <c r="I220" s="5">
        <v>1629.8</v>
      </c>
      <c r="J220" s="5">
        <v>1626.8</v>
      </c>
      <c r="K220" s="5">
        <v>1638</v>
      </c>
      <c r="L220" s="5">
        <v>1638.7</v>
      </c>
      <c r="M220" s="5">
        <v>1640.02</v>
      </c>
      <c r="N220" s="5">
        <v>1999.6</v>
      </c>
      <c r="O220" s="5">
        <v>1307</v>
      </c>
      <c r="P220" s="5">
        <v>13149023</v>
      </c>
      <c r="Q220" s="5">
        <v>201281</v>
      </c>
    </row>
    <row r="221" spans="1:17" x14ac:dyDescent="0.25">
      <c r="A221" s="6">
        <v>46013</v>
      </c>
      <c r="B221" s="4" t="s">
        <v>17</v>
      </c>
      <c r="C221" s="5" t="str">
        <f t="shared" si="0"/>
        <v>Monday</v>
      </c>
      <c r="D221" s="5" t="str">
        <f t="shared" si="1"/>
        <v>December</v>
      </c>
      <c r="E221" s="5" t="str">
        <f t="shared" si="2"/>
        <v>2025</v>
      </c>
      <c r="F221" s="5" t="str">
        <f t="shared" si="3"/>
        <v>Q4</v>
      </c>
      <c r="G221" s="5">
        <v>1664</v>
      </c>
      <c r="H221" s="5">
        <v>1693.2</v>
      </c>
      <c r="I221" s="5">
        <v>1664</v>
      </c>
      <c r="J221" s="5">
        <v>1638.7</v>
      </c>
      <c r="K221" s="5">
        <v>1686</v>
      </c>
      <c r="L221" s="5">
        <v>1689.6</v>
      </c>
      <c r="M221" s="5">
        <v>1682.86</v>
      </c>
      <c r="N221" s="5">
        <v>1982.8</v>
      </c>
      <c r="O221" s="5">
        <v>1307</v>
      </c>
      <c r="P221" s="5">
        <v>23098923</v>
      </c>
      <c r="Q221" s="5">
        <v>412335</v>
      </c>
    </row>
    <row r="222" spans="1:17" x14ac:dyDescent="0.25">
      <c r="A222" s="6">
        <v>46014</v>
      </c>
      <c r="B222" s="4" t="s">
        <v>17</v>
      </c>
      <c r="C222" s="5" t="str">
        <f t="shared" si="0"/>
        <v>Tuesday</v>
      </c>
      <c r="D222" s="5" t="str">
        <f t="shared" si="1"/>
        <v>December</v>
      </c>
      <c r="E222" s="5" t="str">
        <f t="shared" si="2"/>
        <v>2025</v>
      </c>
      <c r="F222" s="5" t="str">
        <f t="shared" si="3"/>
        <v>Q4</v>
      </c>
      <c r="G222" s="5">
        <v>1679</v>
      </c>
      <c r="H222" s="5">
        <v>1679</v>
      </c>
      <c r="I222" s="5">
        <v>1656.4</v>
      </c>
      <c r="J222" s="5">
        <v>1689.6</v>
      </c>
      <c r="K222" s="5">
        <v>1664.6</v>
      </c>
      <c r="L222" s="5">
        <v>1668.3</v>
      </c>
      <c r="M222" s="5">
        <v>1666.35</v>
      </c>
      <c r="N222" s="5">
        <v>1982.8</v>
      </c>
      <c r="O222" s="5">
        <v>1307</v>
      </c>
      <c r="P222" s="5">
        <v>6593060</v>
      </c>
      <c r="Q222" s="5">
        <v>228310</v>
      </c>
    </row>
    <row r="223" spans="1:17" x14ac:dyDescent="0.25">
      <c r="A223" s="6">
        <v>46015</v>
      </c>
      <c r="B223" s="4" t="s">
        <v>17</v>
      </c>
      <c r="C223" s="5" t="str">
        <f t="shared" si="0"/>
        <v>Wednesday</v>
      </c>
      <c r="D223" s="5" t="str">
        <f t="shared" si="1"/>
        <v>December</v>
      </c>
      <c r="E223" s="5" t="str">
        <f t="shared" si="2"/>
        <v>2025</v>
      </c>
      <c r="F223" s="5" t="str">
        <f t="shared" si="3"/>
        <v>Q4</v>
      </c>
      <c r="G223" s="5">
        <v>1661</v>
      </c>
      <c r="H223" s="5">
        <v>1667.6</v>
      </c>
      <c r="I223" s="5">
        <v>1652.5</v>
      </c>
      <c r="J223" s="5">
        <v>1668.3</v>
      </c>
      <c r="K223" s="5">
        <v>1667</v>
      </c>
      <c r="L223" s="5">
        <v>1663.4</v>
      </c>
      <c r="M223" s="5">
        <v>1660.54</v>
      </c>
      <c r="N223" s="5">
        <v>1982.8</v>
      </c>
      <c r="O223" s="5">
        <v>1307</v>
      </c>
      <c r="P223" s="5">
        <v>4271167</v>
      </c>
      <c r="Q223" s="5">
        <v>142602</v>
      </c>
    </row>
    <row r="224" spans="1:17" x14ac:dyDescent="0.25">
      <c r="A224" s="6">
        <v>46017</v>
      </c>
      <c r="B224" s="4" t="s">
        <v>17</v>
      </c>
      <c r="C224" s="5" t="str">
        <f t="shared" si="0"/>
        <v>Friday</v>
      </c>
      <c r="D224" s="5" t="str">
        <f t="shared" si="1"/>
        <v>December</v>
      </c>
      <c r="E224" s="5" t="str">
        <f t="shared" si="2"/>
        <v>2025</v>
      </c>
      <c r="F224" s="5" t="str">
        <f t="shared" si="3"/>
        <v>Q4</v>
      </c>
      <c r="G224" s="5">
        <v>1663.4</v>
      </c>
      <c r="H224" s="5">
        <v>1668.8</v>
      </c>
      <c r="I224" s="5">
        <v>1651.7</v>
      </c>
      <c r="J224" s="5">
        <v>1663.4</v>
      </c>
      <c r="K224" s="5">
        <v>1657</v>
      </c>
      <c r="L224" s="5">
        <v>1656.1</v>
      </c>
      <c r="M224" s="5">
        <v>1657.89</v>
      </c>
      <c r="N224" s="5">
        <v>1982.8</v>
      </c>
      <c r="O224" s="5">
        <v>1307</v>
      </c>
      <c r="P224" s="5">
        <v>2006491</v>
      </c>
      <c r="Q224" s="5">
        <v>97220</v>
      </c>
    </row>
    <row r="225" spans="1:17" x14ac:dyDescent="0.25">
      <c r="A225" s="6">
        <v>46020</v>
      </c>
      <c r="B225" s="4" t="s">
        <v>17</v>
      </c>
      <c r="C225" s="5" t="str">
        <f t="shared" si="0"/>
        <v>Monday</v>
      </c>
      <c r="D225" s="5" t="str">
        <f t="shared" si="1"/>
        <v>December</v>
      </c>
      <c r="E225" s="5" t="str">
        <f t="shared" si="2"/>
        <v>2025</v>
      </c>
      <c r="F225" s="5" t="str">
        <f t="shared" si="3"/>
        <v>Q4</v>
      </c>
      <c r="G225" s="5">
        <v>1658</v>
      </c>
      <c r="H225" s="5">
        <v>1673.1</v>
      </c>
      <c r="I225" s="5">
        <v>1637.1</v>
      </c>
      <c r="J225" s="5">
        <v>1656.1</v>
      </c>
      <c r="K225" s="5">
        <v>1645</v>
      </c>
      <c r="L225" s="5">
        <v>1644.7</v>
      </c>
      <c r="M225" s="5">
        <v>1647.3</v>
      </c>
      <c r="N225" s="5">
        <v>1982.8</v>
      </c>
      <c r="O225" s="5">
        <v>1307</v>
      </c>
      <c r="P225" s="5">
        <v>4062817</v>
      </c>
      <c r="Q225" s="5">
        <v>103013</v>
      </c>
    </row>
    <row r="226" spans="1:17" x14ac:dyDescent="0.25">
      <c r="A226" s="6">
        <v>46021</v>
      </c>
      <c r="B226" s="4" t="s">
        <v>17</v>
      </c>
      <c r="C226" s="5" t="str">
        <f t="shared" si="0"/>
        <v>Tuesday</v>
      </c>
      <c r="D226" s="5" t="str">
        <f t="shared" si="1"/>
        <v>December</v>
      </c>
      <c r="E226" s="5" t="str">
        <f t="shared" si="2"/>
        <v>2025</v>
      </c>
      <c r="F226" s="5" t="str">
        <f t="shared" si="3"/>
        <v>Q4</v>
      </c>
      <c r="G226" s="5">
        <v>1647</v>
      </c>
      <c r="H226" s="5">
        <v>1647.9</v>
      </c>
      <c r="I226" s="5">
        <v>1616.8</v>
      </c>
      <c r="J226" s="5">
        <v>1644.7</v>
      </c>
      <c r="K226" s="5">
        <v>1623.5</v>
      </c>
      <c r="L226" s="5">
        <v>1621.6</v>
      </c>
      <c r="M226" s="5">
        <v>1625.72</v>
      </c>
      <c r="N226" s="5">
        <v>1982.8</v>
      </c>
      <c r="O226" s="5">
        <v>1307</v>
      </c>
      <c r="P226" s="5">
        <v>9395937</v>
      </c>
      <c r="Q226" s="5">
        <v>150131</v>
      </c>
    </row>
    <row r="227" spans="1:17" x14ac:dyDescent="0.25">
      <c r="A227" s="6">
        <v>46022</v>
      </c>
      <c r="B227" s="4" t="s">
        <v>17</v>
      </c>
      <c r="C227" s="5" t="str">
        <f t="shared" si="0"/>
        <v>Wednesday</v>
      </c>
      <c r="D227" s="5" t="str">
        <f t="shared" si="1"/>
        <v>December</v>
      </c>
      <c r="E227" s="5" t="str">
        <f t="shared" si="2"/>
        <v>2025</v>
      </c>
      <c r="F227" s="5" t="str">
        <f t="shared" si="3"/>
        <v>Q4</v>
      </c>
      <c r="G227" s="5">
        <v>1621</v>
      </c>
      <c r="H227" s="5">
        <v>1628.6</v>
      </c>
      <c r="I227" s="5">
        <v>1609.2</v>
      </c>
      <c r="J227" s="5">
        <v>1621.6</v>
      </c>
      <c r="K227" s="5">
        <v>1617.9</v>
      </c>
      <c r="L227" s="5">
        <v>1615.4</v>
      </c>
      <c r="M227" s="5">
        <v>1616.58</v>
      </c>
      <c r="N227" s="5">
        <v>1982.8</v>
      </c>
      <c r="O227" s="5">
        <v>1307</v>
      </c>
      <c r="P227" s="5">
        <v>6538656</v>
      </c>
      <c r="Q227" s="5">
        <v>102413</v>
      </c>
    </row>
    <row r="228" spans="1:17" x14ac:dyDescent="0.25">
      <c r="A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9CD8-0D97-4648-BF0E-DFAAD20AA083}">
  <dimension ref="A1:J15"/>
  <sheetViews>
    <sheetView topLeftCell="A4" workbookViewId="0">
      <selection activeCell="F32" sqref="F32:I46"/>
    </sheetView>
  </sheetViews>
  <sheetFormatPr defaultRowHeight="13.2" x14ac:dyDescent="0.25"/>
  <cols>
    <col min="1" max="1" width="8.88671875" style="9" customWidth="1"/>
  </cols>
  <sheetData>
    <row r="1" spans="1:10" x14ac:dyDescent="0.25">
      <c r="A1" s="10" t="s">
        <v>4</v>
      </c>
      <c r="B1" s="11" t="s">
        <v>5</v>
      </c>
      <c r="C1" s="11" t="s">
        <v>18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25</v>
      </c>
    </row>
    <row r="2" spans="1:10" x14ac:dyDescent="0.25">
      <c r="A2" s="9">
        <v>2025</v>
      </c>
      <c r="B2" t="s">
        <v>26</v>
      </c>
      <c r="C2">
        <v>34136</v>
      </c>
      <c r="D2">
        <v>6628</v>
      </c>
      <c r="E2">
        <v>17259</v>
      </c>
      <c r="F2">
        <v>590</v>
      </c>
      <c r="G2">
        <v>8498</v>
      </c>
      <c r="H2">
        <v>9061</v>
      </c>
      <c r="I2">
        <v>2433</v>
      </c>
      <c r="J2">
        <v>15.96</v>
      </c>
    </row>
    <row r="3" spans="1:10" x14ac:dyDescent="0.25">
      <c r="A3" s="9">
        <v>2025</v>
      </c>
      <c r="B3" t="s">
        <v>27</v>
      </c>
      <c r="C3">
        <v>35275</v>
      </c>
      <c r="D3">
        <v>6114</v>
      </c>
      <c r="E3">
        <v>17673</v>
      </c>
      <c r="F3">
        <v>613</v>
      </c>
      <c r="G3">
        <v>9156</v>
      </c>
      <c r="H3">
        <v>8660</v>
      </c>
      <c r="I3">
        <v>2546</v>
      </c>
      <c r="J3">
        <v>14.72</v>
      </c>
    </row>
    <row r="4" spans="1:10" x14ac:dyDescent="0.25">
      <c r="A4" s="9">
        <v>2025</v>
      </c>
      <c r="B4" t="s">
        <v>28</v>
      </c>
      <c r="C4">
        <v>36907</v>
      </c>
      <c r="D4">
        <v>7759</v>
      </c>
      <c r="E4">
        <v>18074</v>
      </c>
      <c r="F4">
        <v>595</v>
      </c>
      <c r="G4">
        <v>9985</v>
      </c>
      <c r="H4">
        <v>10469</v>
      </c>
      <c r="I4">
        <v>2710</v>
      </c>
      <c r="J4">
        <v>18.68</v>
      </c>
    </row>
    <row r="5" spans="1:10" x14ac:dyDescent="0.25">
      <c r="A5" s="9">
        <v>2025</v>
      </c>
      <c r="B5" t="s">
        <v>29</v>
      </c>
      <c r="C5">
        <v>37996</v>
      </c>
      <c r="D5">
        <v>7363</v>
      </c>
      <c r="E5">
        <v>18607</v>
      </c>
      <c r="F5">
        <v>585</v>
      </c>
      <c r="G5">
        <v>10219</v>
      </c>
      <c r="H5">
        <v>9671</v>
      </c>
      <c r="I5">
        <v>2308</v>
      </c>
      <c r="J5">
        <v>17.850000000000001</v>
      </c>
    </row>
    <row r="15" spans="1:10" ht="5.4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D40B6-5CEE-4B96-AB5C-687FF39C2BA0}">
  <dimension ref="A1:H9"/>
  <sheetViews>
    <sheetView tabSelected="1" workbookViewId="0">
      <selection activeCell="G12" sqref="G12"/>
    </sheetView>
  </sheetViews>
  <sheetFormatPr defaultRowHeight="13.2" x14ac:dyDescent="0.25"/>
  <cols>
    <col min="1" max="1" width="19.77734375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</row>
    <row r="2" spans="1:8" x14ac:dyDescent="0.25">
      <c r="A2" s="12">
        <v>45717</v>
      </c>
      <c r="B2">
        <v>2025</v>
      </c>
      <c r="C2" t="s">
        <v>26</v>
      </c>
      <c r="D2">
        <v>14.6</v>
      </c>
      <c r="E2">
        <v>32.9</v>
      </c>
      <c r="F2">
        <v>38.5</v>
      </c>
      <c r="G2">
        <v>13.7</v>
      </c>
      <c r="H2">
        <v>0.3</v>
      </c>
    </row>
    <row r="3" spans="1:8" x14ac:dyDescent="0.25">
      <c r="A3" s="12">
        <v>45352</v>
      </c>
      <c r="B3">
        <v>2024</v>
      </c>
      <c r="C3" t="s">
        <v>26</v>
      </c>
      <c r="D3">
        <v>14.7</v>
      </c>
      <c r="E3">
        <v>34.1</v>
      </c>
      <c r="F3">
        <v>35.9</v>
      </c>
      <c r="G3">
        <v>15</v>
      </c>
      <c r="H3">
        <v>0.3</v>
      </c>
    </row>
    <row r="4" spans="1:8" x14ac:dyDescent="0.25">
      <c r="A4" s="12">
        <v>45809</v>
      </c>
      <c r="B4">
        <v>2025</v>
      </c>
      <c r="C4" t="s">
        <v>27</v>
      </c>
      <c r="D4">
        <v>14.6</v>
      </c>
      <c r="E4">
        <v>31.9</v>
      </c>
      <c r="F4">
        <v>39.6</v>
      </c>
      <c r="G4">
        <v>13.6</v>
      </c>
      <c r="H4">
        <v>0.3</v>
      </c>
    </row>
    <row r="5" spans="1:8" x14ac:dyDescent="0.25">
      <c r="A5" s="12">
        <v>45444</v>
      </c>
      <c r="B5">
        <v>2024</v>
      </c>
      <c r="C5" t="s">
        <v>27</v>
      </c>
      <c r="D5">
        <v>14.6</v>
      </c>
      <c r="E5">
        <v>32.700000000000003</v>
      </c>
      <c r="F5">
        <v>37.6</v>
      </c>
      <c r="G5">
        <v>14.8</v>
      </c>
      <c r="H5">
        <v>0.3</v>
      </c>
    </row>
    <row r="6" spans="1:8" x14ac:dyDescent="0.25">
      <c r="A6" s="12">
        <v>45901</v>
      </c>
      <c r="B6">
        <v>2025</v>
      </c>
      <c r="C6" t="s">
        <v>28</v>
      </c>
      <c r="D6">
        <v>14.3</v>
      </c>
      <c r="E6">
        <v>30.1</v>
      </c>
      <c r="F6">
        <v>41.7</v>
      </c>
      <c r="G6">
        <v>13.7</v>
      </c>
      <c r="H6">
        <v>0.3</v>
      </c>
    </row>
    <row r="7" spans="1:8" x14ac:dyDescent="0.25">
      <c r="A7" s="12">
        <v>45536</v>
      </c>
      <c r="B7">
        <v>2024</v>
      </c>
      <c r="C7" t="s">
        <v>28</v>
      </c>
      <c r="D7">
        <v>14.4</v>
      </c>
      <c r="E7">
        <v>33.299999999999997</v>
      </c>
      <c r="F7">
        <v>38.1</v>
      </c>
      <c r="G7">
        <v>13.9</v>
      </c>
      <c r="H7">
        <v>0.3</v>
      </c>
    </row>
    <row r="8" spans="1:8" x14ac:dyDescent="0.25">
      <c r="A8" s="12">
        <v>45992</v>
      </c>
      <c r="B8">
        <v>2025</v>
      </c>
      <c r="C8" t="s">
        <v>29</v>
      </c>
      <c r="D8">
        <v>14.5</v>
      </c>
      <c r="E8">
        <v>30.3</v>
      </c>
      <c r="F8">
        <v>41.3</v>
      </c>
      <c r="G8">
        <v>13.7</v>
      </c>
      <c r="H8">
        <v>0.2</v>
      </c>
    </row>
    <row r="9" spans="1:8" x14ac:dyDescent="0.25">
      <c r="A9" s="12">
        <v>45627</v>
      </c>
      <c r="B9">
        <v>2024</v>
      </c>
      <c r="C9" t="s">
        <v>29</v>
      </c>
      <c r="D9">
        <v>14.4</v>
      </c>
      <c r="E9">
        <v>33.299999999999997</v>
      </c>
      <c r="F9">
        <v>38.4</v>
      </c>
      <c r="G9">
        <v>13.6</v>
      </c>
      <c r="H9">
        <v>0.3</v>
      </c>
    </row>
  </sheetData>
  <sortState xmlns:xlrd2="http://schemas.microsoft.com/office/spreadsheetml/2017/richdata2" ref="A2:H9">
    <sortCondition ref="C1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Quote-Equity-INFY-EQ-01-02-2025</vt:lpstr>
      <vt:lpstr>FINANCIAL ANALYSIS</vt:lpstr>
      <vt:lpstr>PARMOTERS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singh</dc:creator>
  <cp:lastModifiedBy>prashant singh</cp:lastModifiedBy>
  <dcterms:created xsi:type="dcterms:W3CDTF">2026-02-01T06:45:23Z</dcterms:created>
  <dcterms:modified xsi:type="dcterms:W3CDTF">2026-02-01T17:22:34Z</dcterms:modified>
</cp:coreProperties>
</file>